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IFERROR(__xludf.DUMMYFUNCTION("GOOGLEFINANCE(""WALMEX"",""all"",""2024-01-01"",""2024-12-31"")"),"Date")</f>
        <v>Date</v>
      </c>
      <c r="B1" s="1" t="str">
        <f>IFERROR(__xludf.DUMMYFUNCTION("""COMPUTED_VALUE"""),"Open")</f>
        <v>Open</v>
      </c>
      <c r="C1" s="1" t="str">
        <f>IFERROR(__xludf.DUMMYFUNCTION("""COMPUTED_VALUE"""),"High")</f>
        <v>High</v>
      </c>
      <c r="D1" s="1" t="str">
        <f>IFERROR(__xludf.DUMMYFUNCTION("""COMPUTED_VALUE"""),"Low")</f>
        <v>Low</v>
      </c>
      <c r="E1" s="1" t="str">
        <f>IFERROR(__xludf.DUMMYFUNCTION("""COMPUTED_VALUE"""),"Close")</f>
        <v>Close</v>
      </c>
      <c r="F1" s="1" t="str">
        <f>IFERROR(__xludf.DUMMYFUNCTION("""COMPUTED_VALUE"""),"Volume")</f>
        <v>Volume</v>
      </c>
    </row>
    <row r="2">
      <c r="A2" s="2">
        <f>IFERROR(__xludf.DUMMYFUNCTION("""COMPUTED_VALUE"""),45293.625)</f>
        <v>45293.625</v>
      </c>
      <c r="B2" s="1">
        <f>IFERROR(__xludf.DUMMYFUNCTION("""COMPUTED_VALUE"""),71.5)</f>
        <v>71.5</v>
      </c>
      <c r="C2" s="1">
        <f>IFERROR(__xludf.DUMMYFUNCTION("""COMPUTED_VALUE"""),71.97)</f>
        <v>71.97</v>
      </c>
      <c r="D2" s="1">
        <f>IFERROR(__xludf.DUMMYFUNCTION("""COMPUTED_VALUE"""),70.95)</f>
        <v>70.95</v>
      </c>
      <c r="E2" s="1">
        <f>IFERROR(__xludf.DUMMYFUNCTION("""COMPUTED_VALUE"""),71.86)</f>
        <v>71.86</v>
      </c>
      <c r="F2" s="1">
        <f>IFERROR(__xludf.DUMMYFUNCTION("""COMPUTED_VALUE"""),5498962.0)</f>
        <v>5498962</v>
      </c>
    </row>
    <row r="3">
      <c r="A3" s="2">
        <f>IFERROR(__xludf.DUMMYFUNCTION("""COMPUTED_VALUE"""),45294.625)</f>
        <v>45294.625</v>
      </c>
      <c r="B3" s="1">
        <f>IFERROR(__xludf.DUMMYFUNCTION("""COMPUTED_VALUE"""),71.51)</f>
        <v>71.51</v>
      </c>
      <c r="C3" s="1">
        <f>IFERROR(__xludf.DUMMYFUNCTION("""COMPUTED_VALUE"""),71.51)</f>
        <v>71.51</v>
      </c>
      <c r="D3" s="1">
        <f>IFERROR(__xludf.DUMMYFUNCTION("""COMPUTED_VALUE"""),69.6)</f>
        <v>69.6</v>
      </c>
      <c r="E3" s="1">
        <f>IFERROR(__xludf.DUMMYFUNCTION("""COMPUTED_VALUE"""),69.8)</f>
        <v>69.8</v>
      </c>
      <c r="F3" s="1">
        <f>IFERROR(__xludf.DUMMYFUNCTION("""COMPUTED_VALUE"""),2.0301439E7)</f>
        <v>20301439</v>
      </c>
    </row>
    <row r="4">
      <c r="A4" s="2">
        <f>IFERROR(__xludf.DUMMYFUNCTION("""COMPUTED_VALUE"""),45295.625)</f>
        <v>45295.625</v>
      </c>
      <c r="B4" s="1">
        <f>IFERROR(__xludf.DUMMYFUNCTION("""COMPUTED_VALUE"""),69.88)</f>
        <v>69.88</v>
      </c>
      <c r="C4" s="1">
        <f>IFERROR(__xludf.DUMMYFUNCTION("""COMPUTED_VALUE"""),70.71)</f>
        <v>70.71</v>
      </c>
      <c r="D4" s="1">
        <f>IFERROR(__xludf.DUMMYFUNCTION("""COMPUTED_VALUE"""),69.81)</f>
        <v>69.81</v>
      </c>
      <c r="E4" s="1">
        <f>IFERROR(__xludf.DUMMYFUNCTION("""COMPUTED_VALUE"""),70.06)</f>
        <v>70.06</v>
      </c>
      <c r="F4" s="1">
        <f>IFERROR(__xludf.DUMMYFUNCTION("""COMPUTED_VALUE"""),1.3305964E7)</f>
        <v>13305964</v>
      </c>
    </row>
    <row r="5">
      <c r="A5" s="2">
        <f>IFERROR(__xludf.DUMMYFUNCTION("""COMPUTED_VALUE"""),45296.625)</f>
        <v>45296.625</v>
      </c>
      <c r="B5" s="1">
        <f>IFERROR(__xludf.DUMMYFUNCTION("""COMPUTED_VALUE"""),70.04)</f>
        <v>70.04</v>
      </c>
      <c r="C5" s="1">
        <f>IFERROR(__xludf.DUMMYFUNCTION("""COMPUTED_VALUE"""),70.93)</f>
        <v>70.93</v>
      </c>
      <c r="D5" s="1">
        <f>IFERROR(__xludf.DUMMYFUNCTION("""COMPUTED_VALUE"""),68.88)</f>
        <v>68.88</v>
      </c>
      <c r="E5" s="1">
        <f>IFERROR(__xludf.DUMMYFUNCTION("""COMPUTED_VALUE"""),69.54)</f>
        <v>69.54</v>
      </c>
      <c r="F5" s="1">
        <f>IFERROR(__xludf.DUMMYFUNCTION("""COMPUTED_VALUE"""),1.1655778E7)</f>
        <v>11655778</v>
      </c>
    </row>
    <row r="6">
      <c r="A6" s="2">
        <f>IFERROR(__xludf.DUMMYFUNCTION("""COMPUTED_VALUE"""),45299.625)</f>
        <v>45299.625</v>
      </c>
      <c r="B6" s="1">
        <f>IFERROR(__xludf.DUMMYFUNCTION("""COMPUTED_VALUE"""),69.8)</f>
        <v>69.8</v>
      </c>
      <c r="C6" s="1">
        <f>IFERROR(__xludf.DUMMYFUNCTION("""COMPUTED_VALUE"""),70.37)</f>
        <v>70.37</v>
      </c>
      <c r="D6" s="1">
        <f>IFERROR(__xludf.DUMMYFUNCTION("""COMPUTED_VALUE"""),69.48)</f>
        <v>69.48</v>
      </c>
      <c r="E6" s="1">
        <f>IFERROR(__xludf.DUMMYFUNCTION("""COMPUTED_VALUE"""),70.11)</f>
        <v>70.11</v>
      </c>
      <c r="F6" s="1">
        <f>IFERROR(__xludf.DUMMYFUNCTION("""COMPUTED_VALUE"""),7372747.0)</f>
        <v>7372747</v>
      </c>
    </row>
    <row r="7">
      <c r="A7" s="2">
        <f>IFERROR(__xludf.DUMMYFUNCTION("""COMPUTED_VALUE"""),45300.625)</f>
        <v>45300.625</v>
      </c>
      <c r="B7" s="1">
        <f>IFERROR(__xludf.DUMMYFUNCTION("""COMPUTED_VALUE"""),70.18)</f>
        <v>70.18</v>
      </c>
      <c r="C7" s="1">
        <f>IFERROR(__xludf.DUMMYFUNCTION("""COMPUTED_VALUE"""),70.18)</f>
        <v>70.18</v>
      </c>
      <c r="D7" s="1">
        <f>IFERROR(__xludf.DUMMYFUNCTION("""COMPUTED_VALUE"""),67.5)</f>
        <v>67.5</v>
      </c>
      <c r="E7" s="1">
        <f>IFERROR(__xludf.DUMMYFUNCTION("""COMPUTED_VALUE"""),67.74)</f>
        <v>67.74</v>
      </c>
      <c r="F7" s="1">
        <f>IFERROR(__xludf.DUMMYFUNCTION("""COMPUTED_VALUE"""),1.5722867E7)</f>
        <v>15722867</v>
      </c>
    </row>
    <row r="8">
      <c r="A8" s="2">
        <f>IFERROR(__xludf.DUMMYFUNCTION("""COMPUTED_VALUE"""),45301.625)</f>
        <v>45301.625</v>
      </c>
      <c r="B8" s="1">
        <f>IFERROR(__xludf.DUMMYFUNCTION("""COMPUTED_VALUE"""),67.81)</f>
        <v>67.81</v>
      </c>
      <c r="C8" s="1">
        <f>IFERROR(__xludf.DUMMYFUNCTION("""COMPUTED_VALUE"""),70.2)</f>
        <v>70.2</v>
      </c>
      <c r="D8" s="1">
        <f>IFERROR(__xludf.DUMMYFUNCTION("""COMPUTED_VALUE"""),67.81)</f>
        <v>67.81</v>
      </c>
      <c r="E8" s="1">
        <f>IFERROR(__xludf.DUMMYFUNCTION("""COMPUTED_VALUE"""),69.51)</f>
        <v>69.51</v>
      </c>
      <c r="F8" s="1">
        <f>IFERROR(__xludf.DUMMYFUNCTION("""COMPUTED_VALUE"""),2.4566885E7)</f>
        <v>24566885</v>
      </c>
    </row>
    <row r="9">
      <c r="A9" s="2">
        <f>IFERROR(__xludf.DUMMYFUNCTION("""COMPUTED_VALUE"""),45302.625)</f>
        <v>45302.625</v>
      </c>
      <c r="B9" s="1">
        <f>IFERROR(__xludf.DUMMYFUNCTION("""COMPUTED_VALUE"""),69.42)</f>
        <v>69.42</v>
      </c>
      <c r="C9" s="1">
        <f>IFERROR(__xludf.DUMMYFUNCTION("""COMPUTED_VALUE"""),70.4)</f>
        <v>70.4</v>
      </c>
      <c r="D9" s="1">
        <f>IFERROR(__xludf.DUMMYFUNCTION("""COMPUTED_VALUE"""),69.31)</f>
        <v>69.31</v>
      </c>
      <c r="E9" s="1">
        <f>IFERROR(__xludf.DUMMYFUNCTION("""COMPUTED_VALUE"""),69.92)</f>
        <v>69.92</v>
      </c>
      <c r="F9" s="1">
        <f>IFERROR(__xludf.DUMMYFUNCTION("""COMPUTED_VALUE"""),1.2640892E7)</f>
        <v>12640892</v>
      </c>
    </row>
    <row r="10">
      <c r="A10" s="2">
        <f>IFERROR(__xludf.DUMMYFUNCTION("""COMPUTED_VALUE"""),45303.625)</f>
        <v>45303.625</v>
      </c>
      <c r="B10" s="1">
        <f>IFERROR(__xludf.DUMMYFUNCTION("""COMPUTED_VALUE"""),70.33)</f>
        <v>70.33</v>
      </c>
      <c r="C10" s="1">
        <f>IFERROR(__xludf.DUMMYFUNCTION("""COMPUTED_VALUE"""),71.79)</f>
        <v>71.79</v>
      </c>
      <c r="D10" s="1">
        <f>IFERROR(__xludf.DUMMYFUNCTION("""COMPUTED_VALUE"""),70.13)</f>
        <v>70.13</v>
      </c>
      <c r="E10" s="1">
        <f>IFERROR(__xludf.DUMMYFUNCTION("""COMPUTED_VALUE"""),70.98)</f>
        <v>70.98</v>
      </c>
      <c r="F10" s="1">
        <f>IFERROR(__xludf.DUMMYFUNCTION("""COMPUTED_VALUE"""),1.4010515E7)</f>
        <v>14010515</v>
      </c>
    </row>
    <row r="11">
      <c r="A11" s="2">
        <f>IFERROR(__xludf.DUMMYFUNCTION("""COMPUTED_VALUE"""),45306.625)</f>
        <v>45306.625</v>
      </c>
      <c r="B11" s="1">
        <f>IFERROR(__xludf.DUMMYFUNCTION("""COMPUTED_VALUE"""),70.94)</f>
        <v>70.94</v>
      </c>
      <c r="C11" s="1">
        <f>IFERROR(__xludf.DUMMYFUNCTION("""COMPUTED_VALUE"""),71.08)</f>
        <v>71.08</v>
      </c>
      <c r="D11" s="1">
        <f>IFERROR(__xludf.DUMMYFUNCTION("""COMPUTED_VALUE"""),70.31)</f>
        <v>70.31</v>
      </c>
      <c r="E11" s="1">
        <f>IFERROR(__xludf.DUMMYFUNCTION("""COMPUTED_VALUE"""),70.57)</f>
        <v>70.57</v>
      </c>
      <c r="F11" s="1">
        <f>IFERROR(__xludf.DUMMYFUNCTION("""COMPUTED_VALUE"""),967867.0)</f>
        <v>967867</v>
      </c>
    </row>
    <row r="12">
      <c r="A12" s="2">
        <f>IFERROR(__xludf.DUMMYFUNCTION("""COMPUTED_VALUE"""),45307.625)</f>
        <v>45307.625</v>
      </c>
      <c r="B12" s="1">
        <f>IFERROR(__xludf.DUMMYFUNCTION("""COMPUTED_VALUE"""),70.53)</f>
        <v>70.53</v>
      </c>
      <c r="C12" s="1">
        <f>IFERROR(__xludf.DUMMYFUNCTION("""COMPUTED_VALUE"""),70.98)</f>
        <v>70.98</v>
      </c>
      <c r="D12" s="1">
        <f>IFERROR(__xludf.DUMMYFUNCTION("""COMPUTED_VALUE"""),69.92)</f>
        <v>69.92</v>
      </c>
      <c r="E12" s="1">
        <f>IFERROR(__xludf.DUMMYFUNCTION("""COMPUTED_VALUE"""),70.21)</f>
        <v>70.21</v>
      </c>
      <c r="F12" s="1">
        <f>IFERROR(__xludf.DUMMYFUNCTION("""COMPUTED_VALUE"""),1.8505327E7)</f>
        <v>18505327</v>
      </c>
    </row>
    <row r="13">
      <c r="A13" s="2">
        <f>IFERROR(__xludf.DUMMYFUNCTION("""COMPUTED_VALUE"""),45308.625)</f>
        <v>45308.625</v>
      </c>
      <c r="B13" s="1">
        <f>IFERROR(__xludf.DUMMYFUNCTION("""COMPUTED_VALUE"""),70.15)</f>
        <v>70.15</v>
      </c>
      <c r="C13" s="1">
        <f>IFERROR(__xludf.DUMMYFUNCTION("""COMPUTED_VALUE"""),70.54)</f>
        <v>70.54</v>
      </c>
      <c r="D13" s="1">
        <f>IFERROR(__xludf.DUMMYFUNCTION("""COMPUTED_VALUE"""),68.37)</f>
        <v>68.37</v>
      </c>
      <c r="E13" s="1">
        <f>IFERROR(__xludf.DUMMYFUNCTION("""COMPUTED_VALUE"""),68.73)</f>
        <v>68.73</v>
      </c>
      <c r="F13" s="1">
        <f>IFERROR(__xludf.DUMMYFUNCTION("""COMPUTED_VALUE"""),1.8795813E7)</f>
        <v>18795813</v>
      </c>
    </row>
    <row r="14">
      <c r="A14" s="2">
        <f>IFERROR(__xludf.DUMMYFUNCTION("""COMPUTED_VALUE"""),45309.625)</f>
        <v>45309.625</v>
      </c>
      <c r="B14" s="1">
        <f>IFERROR(__xludf.DUMMYFUNCTION("""COMPUTED_VALUE"""),69.0)</f>
        <v>69</v>
      </c>
      <c r="C14" s="1">
        <f>IFERROR(__xludf.DUMMYFUNCTION("""COMPUTED_VALUE"""),69.0)</f>
        <v>69</v>
      </c>
      <c r="D14" s="1">
        <f>IFERROR(__xludf.DUMMYFUNCTION("""COMPUTED_VALUE"""),68.16)</f>
        <v>68.16</v>
      </c>
      <c r="E14" s="1">
        <f>IFERROR(__xludf.DUMMYFUNCTION("""COMPUTED_VALUE"""),68.23)</f>
        <v>68.23</v>
      </c>
      <c r="F14" s="1">
        <f>IFERROR(__xludf.DUMMYFUNCTION("""COMPUTED_VALUE"""),1.6950405E7)</f>
        <v>16950405</v>
      </c>
    </row>
    <row r="15">
      <c r="A15" s="2">
        <f>IFERROR(__xludf.DUMMYFUNCTION("""COMPUTED_VALUE"""),45310.625)</f>
        <v>45310.625</v>
      </c>
      <c r="B15" s="1">
        <f>IFERROR(__xludf.DUMMYFUNCTION("""COMPUTED_VALUE"""),68.36)</f>
        <v>68.36</v>
      </c>
      <c r="C15" s="1">
        <f>IFERROR(__xludf.DUMMYFUNCTION("""COMPUTED_VALUE"""),68.94)</f>
        <v>68.94</v>
      </c>
      <c r="D15" s="1">
        <f>IFERROR(__xludf.DUMMYFUNCTION("""COMPUTED_VALUE"""),68.31)</f>
        <v>68.31</v>
      </c>
      <c r="E15" s="1">
        <f>IFERROR(__xludf.DUMMYFUNCTION("""COMPUTED_VALUE"""),68.36)</f>
        <v>68.36</v>
      </c>
      <c r="F15" s="1">
        <f>IFERROR(__xludf.DUMMYFUNCTION("""COMPUTED_VALUE"""),1.2286117E7)</f>
        <v>12286117</v>
      </c>
    </row>
    <row r="16">
      <c r="A16" s="2">
        <f>IFERROR(__xludf.DUMMYFUNCTION("""COMPUTED_VALUE"""),45313.625)</f>
        <v>45313.625</v>
      </c>
      <c r="B16" s="1">
        <f>IFERROR(__xludf.DUMMYFUNCTION("""COMPUTED_VALUE"""),68.51)</f>
        <v>68.51</v>
      </c>
      <c r="C16" s="1">
        <f>IFERROR(__xludf.DUMMYFUNCTION("""COMPUTED_VALUE"""),68.63)</f>
        <v>68.63</v>
      </c>
      <c r="D16" s="1">
        <f>IFERROR(__xludf.DUMMYFUNCTION("""COMPUTED_VALUE"""),65.8)</f>
        <v>65.8</v>
      </c>
      <c r="E16" s="1">
        <f>IFERROR(__xludf.DUMMYFUNCTION("""COMPUTED_VALUE"""),65.9)</f>
        <v>65.9</v>
      </c>
      <c r="F16" s="1">
        <f>IFERROR(__xludf.DUMMYFUNCTION("""COMPUTED_VALUE"""),2.4217797E7)</f>
        <v>24217797</v>
      </c>
    </row>
    <row r="17">
      <c r="A17" s="2">
        <f>IFERROR(__xludf.DUMMYFUNCTION("""COMPUTED_VALUE"""),45314.625)</f>
        <v>45314.625</v>
      </c>
      <c r="B17" s="1">
        <f>IFERROR(__xludf.DUMMYFUNCTION("""COMPUTED_VALUE"""),66.0)</f>
        <v>66</v>
      </c>
      <c r="C17" s="1">
        <f>IFERROR(__xludf.DUMMYFUNCTION("""COMPUTED_VALUE"""),67.84)</f>
        <v>67.84</v>
      </c>
      <c r="D17" s="1">
        <f>IFERROR(__xludf.DUMMYFUNCTION("""COMPUTED_VALUE"""),66.0)</f>
        <v>66</v>
      </c>
      <c r="E17" s="1">
        <f>IFERROR(__xludf.DUMMYFUNCTION("""COMPUTED_VALUE"""),67.37)</f>
        <v>67.37</v>
      </c>
      <c r="F17" s="1">
        <f>IFERROR(__xludf.DUMMYFUNCTION("""COMPUTED_VALUE"""),2.1288929E7)</f>
        <v>21288929</v>
      </c>
    </row>
    <row r="18">
      <c r="A18" s="2">
        <f>IFERROR(__xludf.DUMMYFUNCTION("""COMPUTED_VALUE"""),45315.625)</f>
        <v>45315.625</v>
      </c>
      <c r="B18" s="1">
        <f>IFERROR(__xludf.DUMMYFUNCTION("""COMPUTED_VALUE"""),67.59)</f>
        <v>67.59</v>
      </c>
      <c r="C18" s="1">
        <f>IFERROR(__xludf.DUMMYFUNCTION("""COMPUTED_VALUE"""),67.79)</f>
        <v>67.79</v>
      </c>
      <c r="D18" s="1">
        <f>IFERROR(__xludf.DUMMYFUNCTION("""COMPUTED_VALUE"""),66.51)</f>
        <v>66.51</v>
      </c>
      <c r="E18" s="1">
        <f>IFERROR(__xludf.DUMMYFUNCTION("""COMPUTED_VALUE"""),66.6)</f>
        <v>66.6</v>
      </c>
      <c r="F18" s="1">
        <f>IFERROR(__xludf.DUMMYFUNCTION("""COMPUTED_VALUE"""),2.8947579E7)</f>
        <v>28947579</v>
      </c>
    </row>
    <row r="19">
      <c r="A19" s="2">
        <f>IFERROR(__xludf.DUMMYFUNCTION("""COMPUTED_VALUE"""),45316.625)</f>
        <v>45316.625</v>
      </c>
      <c r="B19" s="1">
        <f>IFERROR(__xludf.DUMMYFUNCTION("""COMPUTED_VALUE"""),66.89)</f>
        <v>66.89</v>
      </c>
      <c r="C19" s="1">
        <f>IFERROR(__xludf.DUMMYFUNCTION("""COMPUTED_VALUE"""),69.51)</f>
        <v>69.51</v>
      </c>
      <c r="D19" s="1">
        <f>IFERROR(__xludf.DUMMYFUNCTION("""COMPUTED_VALUE"""),66.11)</f>
        <v>66.11</v>
      </c>
      <c r="E19" s="1">
        <f>IFERROR(__xludf.DUMMYFUNCTION("""COMPUTED_VALUE"""),69.28)</f>
        <v>69.28</v>
      </c>
      <c r="F19" s="1">
        <f>IFERROR(__xludf.DUMMYFUNCTION("""COMPUTED_VALUE"""),3.1523811E7)</f>
        <v>31523811</v>
      </c>
    </row>
    <row r="20">
      <c r="A20" s="2">
        <f>IFERROR(__xludf.DUMMYFUNCTION("""COMPUTED_VALUE"""),45317.625)</f>
        <v>45317.625</v>
      </c>
      <c r="B20" s="1">
        <f>IFERROR(__xludf.DUMMYFUNCTION("""COMPUTED_VALUE"""),69.06)</f>
        <v>69.06</v>
      </c>
      <c r="C20" s="1">
        <f>IFERROR(__xludf.DUMMYFUNCTION("""COMPUTED_VALUE"""),70.92)</f>
        <v>70.92</v>
      </c>
      <c r="D20" s="1">
        <f>IFERROR(__xludf.DUMMYFUNCTION("""COMPUTED_VALUE"""),69.0)</f>
        <v>69</v>
      </c>
      <c r="E20" s="1">
        <f>IFERROR(__xludf.DUMMYFUNCTION("""COMPUTED_VALUE"""),70.7)</f>
        <v>70.7</v>
      </c>
      <c r="F20" s="1">
        <f>IFERROR(__xludf.DUMMYFUNCTION("""COMPUTED_VALUE"""),1.9517706E7)</f>
        <v>19517706</v>
      </c>
    </row>
    <row r="21">
      <c r="A21" s="2">
        <f>IFERROR(__xludf.DUMMYFUNCTION("""COMPUTED_VALUE"""),45320.625)</f>
        <v>45320.625</v>
      </c>
      <c r="B21" s="1">
        <f>IFERROR(__xludf.DUMMYFUNCTION("""COMPUTED_VALUE"""),70.7)</f>
        <v>70.7</v>
      </c>
      <c r="C21" s="1">
        <f>IFERROR(__xludf.DUMMYFUNCTION("""COMPUTED_VALUE"""),71.0)</f>
        <v>71</v>
      </c>
      <c r="D21" s="1">
        <f>IFERROR(__xludf.DUMMYFUNCTION("""COMPUTED_VALUE"""),69.81)</f>
        <v>69.81</v>
      </c>
      <c r="E21" s="1">
        <f>IFERROR(__xludf.DUMMYFUNCTION("""COMPUTED_VALUE"""),70.35)</f>
        <v>70.35</v>
      </c>
      <c r="F21" s="1">
        <f>IFERROR(__xludf.DUMMYFUNCTION("""COMPUTED_VALUE"""),1.9177989E7)</f>
        <v>19177989</v>
      </c>
    </row>
    <row r="22">
      <c r="A22" s="2">
        <f>IFERROR(__xludf.DUMMYFUNCTION("""COMPUTED_VALUE"""),45321.625)</f>
        <v>45321.625</v>
      </c>
      <c r="B22" s="1">
        <f>IFERROR(__xludf.DUMMYFUNCTION("""COMPUTED_VALUE"""),70.34)</f>
        <v>70.34</v>
      </c>
      <c r="C22" s="1">
        <f>IFERROR(__xludf.DUMMYFUNCTION("""COMPUTED_VALUE"""),72.42)</f>
        <v>72.42</v>
      </c>
      <c r="D22" s="1">
        <f>IFERROR(__xludf.DUMMYFUNCTION("""COMPUTED_VALUE"""),69.81)</f>
        <v>69.81</v>
      </c>
      <c r="E22" s="1">
        <f>IFERROR(__xludf.DUMMYFUNCTION("""COMPUTED_VALUE"""),71.92)</f>
        <v>71.92</v>
      </c>
      <c r="F22" s="1">
        <f>IFERROR(__xludf.DUMMYFUNCTION("""COMPUTED_VALUE"""),2.502563E7)</f>
        <v>25025630</v>
      </c>
    </row>
    <row r="23">
      <c r="A23" s="2">
        <f>IFERROR(__xludf.DUMMYFUNCTION("""COMPUTED_VALUE"""),45322.625)</f>
        <v>45322.625</v>
      </c>
      <c r="B23" s="1">
        <f>IFERROR(__xludf.DUMMYFUNCTION("""COMPUTED_VALUE"""),71.41)</f>
        <v>71.41</v>
      </c>
      <c r="C23" s="1">
        <f>IFERROR(__xludf.DUMMYFUNCTION("""COMPUTED_VALUE"""),71.92)</f>
        <v>71.92</v>
      </c>
      <c r="D23" s="1">
        <f>IFERROR(__xludf.DUMMYFUNCTION("""COMPUTED_VALUE"""),70.1)</f>
        <v>70.1</v>
      </c>
      <c r="E23" s="1">
        <f>IFERROR(__xludf.DUMMYFUNCTION("""COMPUTED_VALUE"""),71.09)</f>
        <v>71.09</v>
      </c>
      <c r="F23" s="1">
        <f>IFERROR(__xludf.DUMMYFUNCTION("""COMPUTED_VALUE"""),1.8021741E7)</f>
        <v>18021741</v>
      </c>
    </row>
    <row r="24">
      <c r="A24" s="2">
        <f>IFERROR(__xludf.DUMMYFUNCTION("""COMPUTED_VALUE"""),45323.625)</f>
        <v>45323.625</v>
      </c>
      <c r="B24" s="1">
        <f>IFERROR(__xludf.DUMMYFUNCTION("""COMPUTED_VALUE"""),71.11)</f>
        <v>71.11</v>
      </c>
      <c r="C24" s="1">
        <f>IFERROR(__xludf.DUMMYFUNCTION("""COMPUTED_VALUE"""),72.98)</f>
        <v>72.98</v>
      </c>
      <c r="D24" s="1">
        <f>IFERROR(__xludf.DUMMYFUNCTION("""COMPUTED_VALUE"""),70.65)</f>
        <v>70.65</v>
      </c>
      <c r="E24" s="1">
        <f>IFERROR(__xludf.DUMMYFUNCTION("""COMPUTED_VALUE"""),71.73)</f>
        <v>71.73</v>
      </c>
      <c r="F24" s="1">
        <f>IFERROR(__xludf.DUMMYFUNCTION("""COMPUTED_VALUE"""),1.4597134E7)</f>
        <v>14597134</v>
      </c>
    </row>
    <row r="25">
      <c r="A25" s="2">
        <f>IFERROR(__xludf.DUMMYFUNCTION("""COMPUTED_VALUE"""),45324.625)</f>
        <v>45324.625</v>
      </c>
      <c r="B25" s="1">
        <f>IFERROR(__xludf.DUMMYFUNCTION("""COMPUTED_VALUE"""),72.45)</f>
        <v>72.45</v>
      </c>
      <c r="C25" s="1">
        <f>IFERROR(__xludf.DUMMYFUNCTION("""COMPUTED_VALUE"""),72.72)</f>
        <v>72.72</v>
      </c>
      <c r="D25" s="1">
        <f>IFERROR(__xludf.DUMMYFUNCTION("""COMPUTED_VALUE"""),70.92)</f>
        <v>70.92</v>
      </c>
      <c r="E25" s="1">
        <f>IFERROR(__xludf.DUMMYFUNCTION("""COMPUTED_VALUE"""),71.61)</f>
        <v>71.61</v>
      </c>
      <c r="F25" s="1">
        <f>IFERROR(__xludf.DUMMYFUNCTION("""COMPUTED_VALUE"""),2.049653E7)</f>
        <v>20496530</v>
      </c>
    </row>
    <row r="26">
      <c r="A26" s="2">
        <f>IFERROR(__xludf.DUMMYFUNCTION("""COMPUTED_VALUE"""),45328.625)</f>
        <v>45328.625</v>
      </c>
      <c r="B26" s="1">
        <f>IFERROR(__xludf.DUMMYFUNCTION("""COMPUTED_VALUE"""),71.98)</f>
        <v>71.98</v>
      </c>
      <c r="C26" s="1">
        <f>IFERROR(__xludf.DUMMYFUNCTION("""COMPUTED_VALUE"""),73.5)</f>
        <v>73.5</v>
      </c>
      <c r="D26" s="1">
        <f>IFERROR(__xludf.DUMMYFUNCTION("""COMPUTED_VALUE"""),71.21)</f>
        <v>71.21</v>
      </c>
      <c r="E26" s="1">
        <f>IFERROR(__xludf.DUMMYFUNCTION("""COMPUTED_VALUE"""),73.0)</f>
        <v>73</v>
      </c>
      <c r="F26" s="1">
        <f>IFERROR(__xludf.DUMMYFUNCTION("""COMPUTED_VALUE"""),2.3561996E7)</f>
        <v>23561996</v>
      </c>
    </row>
    <row r="27">
      <c r="A27" s="2">
        <f>IFERROR(__xludf.DUMMYFUNCTION("""COMPUTED_VALUE"""),45329.625)</f>
        <v>45329.625</v>
      </c>
      <c r="B27" s="1">
        <f>IFERROR(__xludf.DUMMYFUNCTION("""COMPUTED_VALUE"""),72.71)</f>
        <v>72.71</v>
      </c>
      <c r="C27" s="1">
        <f>IFERROR(__xludf.DUMMYFUNCTION("""COMPUTED_VALUE"""),72.77)</f>
        <v>72.77</v>
      </c>
      <c r="D27" s="1">
        <f>IFERROR(__xludf.DUMMYFUNCTION("""COMPUTED_VALUE"""),71.31)</f>
        <v>71.31</v>
      </c>
      <c r="E27" s="1">
        <f>IFERROR(__xludf.DUMMYFUNCTION("""COMPUTED_VALUE"""),71.68)</f>
        <v>71.68</v>
      </c>
      <c r="F27" s="1">
        <f>IFERROR(__xludf.DUMMYFUNCTION("""COMPUTED_VALUE"""),1.7507728E7)</f>
        <v>17507728</v>
      </c>
    </row>
    <row r="28">
      <c r="A28" s="2">
        <f>IFERROR(__xludf.DUMMYFUNCTION("""COMPUTED_VALUE"""),45330.625)</f>
        <v>45330.625</v>
      </c>
      <c r="B28" s="1">
        <f>IFERROR(__xludf.DUMMYFUNCTION("""COMPUTED_VALUE"""),71.51)</f>
        <v>71.51</v>
      </c>
      <c r="C28" s="1">
        <f>IFERROR(__xludf.DUMMYFUNCTION("""COMPUTED_VALUE"""),72.19)</f>
        <v>72.19</v>
      </c>
      <c r="D28" s="1">
        <f>IFERROR(__xludf.DUMMYFUNCTION("""COMPUTED_VALUE"""),70.91)</f>
        <v>70.91</v>
      </c>
      <c r="E28" s="1">
        <f>IFERROR(__xludf.DUMMYFUNCTION("""COMPUTED_VALUE"""),71.43)</f>
        <v>71.43</v>
      </c>
      <c r="F28" s="1">
        <f>IFERROR(__xludf.DUMMYFUNCTION("""COMPUTED_VALUE"""),2.2232437E7)</f>
        <v>22232437</v>
      </c>
    </row>
    <row r="29">
      <c r="A29" s="2">
        <f>IFERROR(__xludf.DUMMYFUNCTION("""COMPUTED_VALUE"""),45331.625)</f>
        <v>45331.625</v>
      </c>
      <c r="B29" s="1">
        <f>IFERROR(__xludf.DUMMYFUNCTION("""COMPUTED_VALUE"""),72.0)</f>
        <v>72</v>
      </c>
      <c r="C29" s="1">
        <f>IFERROR(__xludf.DUMMYFUNCTION("""COMPUTED_VALUE"""),73.16)</f>
        <v>73.16</v>
      </c>
      <c r="D29" s="1">
        <f>IFERROR(__xludf.DUMMYFUNCTION("""COMPUTED_VALUE"""),71.49)</f>
        <v>71.49</v>
      </c>
      <c r="E29" s="1">
        <f>IFERROR(__xludf.DUMMYFUNCTION("""COMPUTED_VALUE"""),72.05)</f>
        <v>72.05</v>
      </c>
      <c r="F29" s="1">
        <f>IFERROR(__xludf.DUMMYFUNCTION("""COMPUTED_VALUE"""),1.1096657E7)</f>
        <v>11096657</v>
      </c>
    </row>
    <row r="30">
      <c r="A30" s="2">
        <f>IFERROR(__xludf.DUMMYFUNCTION("""COMPUTED_VALUE"""),45334.625)</f>
        <v>45334.625</v>
      </c>
      <c r="B30" s="1">
        <f>IFERROR(__xludf.DUMMYFUNCTION("""COMPUTED_VALUE"""),72.09)</f>
        <v>72.09</v>
      </c>
      <c r="C30" s="1">
        <f>IFERROR(__xludf.DUMMYFUNCTION("""COMPUTED_VALUE"""),72.24)</f>
        <v>72.24</v>
      </c>
      <c r="D30" s="1">
        <f>IFERROR(__xludf.DUMMYFUNCTION("""COMPUTED_VALUE"""),70.91)</f>
        <v>70.91</v>
      </c>
      <c r="E30" s="1">
        <f>IFERROR(__xludf.DUMMYFUNCTION("""COMPUTED_VALUE"""),71.15)</f>
        <v>71.15</v>
      </c>
      <c r="F30" s="1">
        <f>IFERROR(__xludf.DUMMYFUNCTION("""COMPUTED_VALUE"""),1.1998799E7)</f>
        <v>11998799</v>
      </c>
    </row>
    <row r="31">
      <c r="A31" s="2">
        <f>IFERROR(__xludf.DUMMYFUNCTION("""COMPUTED_VALUE"""),45335.625)</f>
        <v>45335.625</v>
      </c>
      <c r="B31" s="1">
        <f>IFERROR(__xludf.DUMMYFUNCTION("""COMPUTED_VALUE"""),71.11)</f>
        <v>71.11</v>
      </c>
      <c r="C31" s="1">
        <f>IFERROR(__xludf.DUMMYFUNCTION("""COMPUTED_VALUE"""),71.28)</f>
        <v>71.28</v>
      </c>
      <c r="D31" s="1">
        <f>IFERROR(__xludf.DUMMYFUNCTION("""COMPUTED_VALUE"""),69.91)</f>
        <v>69.91</v>
      </c>
      <c r="E31" s="1">
        <f>IFERROR(__xludf.DUMMYFUNCTION("""COMPUTED_VALUE"""),70.62)</f>
        <v>70.62</v>
      </c>
      <c r="F31" s="1">
        <f>IFERROR(__xludf.DUMMYFUNCTION("""COMPUTED_VALUE"""),1.4765634E7)</f>
        <v>14765634</v>
      </c>
    </row>
    <row r="32">
      <c r="A32" s="2">
        <f>IFERROR(__xludf.DUMMYFUNCTION("""COMPUTED_VALUE"""),45336.625)</f>
        <v>45336.625</v>
      </c>
      <c r="B32" s="1">
        <f>IFERROR(__xludf.DUMMYFUNCTION("""COMPUTED_VALUE"""),70.65)</f>
        <v>70.65</v>
      </c>
      <c r="C32" s="1">
        <f>IFERROR(__xludf.DUMMYFUNCTION("""COMPUTED_VALUE"""),71.49)</f>
        <v>71.49</v>
      </c>
      <c r="D32" s="1">
        <f>IFERROR(__xludf.DUMMYFUNCTION("""COMPUTED_VALUE"""),70.21)</f>
        <v>70.21</v>
      </c>
      <c r="E32" s="1">
        <f>IFERROR(__xludf.DUMMYFUNCTION("""COMPUTED_VALUE"""),70.85)</f>
        <v>70.85</v>
      </c>
      <c r="F32" s="1">
        <f>IFERROR(__xludf.DUMMYFUNCTION("""COMPUTED_VALUE"""),2.0523628E7)</f>
        <v>20523628</v>
      </c>
    </row>
    <row r="33">
      <c r="A33" s="2">
        <f>IFERROR(__xludf.DUMMYFUNCTION("""COMPUTED_VALUE"""),45337.625)</f>
        <v>45337.625</v>
      </c>
      <c r="B33" s="1">
        <f>IFERROR(__xludf.DUMMYFUNCTION("""COMPUTED_VALUE"""),70.31)</f>
        <v>70.31</v>
      </c>
      <c r="C33" s="1">
        <f>IFERROR(__xludf.DUMMYFUNCTION("""COMPUTED_VALUE"""),70.37)</f>
        <v>70.37</v>
      </c>
      <c r="D33" s="1">
        <f>IFERROR(__xludf.DUMMYFUNCTION("""COMPUTED_VALUE"""),67.83)</f>
        <v>67.83</v>
      </c>
      <c r="E33" s="1">
        <f>IFERROR(__xludf.DUMMYFUNCTION("""COMPUTED_VALUE"""),68.7)</f>
        <v>68.7</v>
      </c>
      <c r="F33" s="1">
        <f>IFERROR(__xludf.DUMMYFUNCTION("""COMPUTED_VALUE"""),1.7639419E7)</f>
        <v>17639419</v>
      </c>
    </row>
    <row r="34">
      <c r="A34" s="2">
        <f>IFERROR(__xludf.DUMMYFUNCTION("""COMPUTED_VALUE"""),45338.625)</f>
        <v>45338.625</v>
      </c>
      <c r="B34" s="1">
        <f>IFERROR(__xludf.DUMMYFUNCTION("""COMPUTED_VALUE"""),68.72)</f>
        <v>68.72</v>
      </c>
      <c r="C34" s="1">
        <f>IFERROR(__xludf.DUMMYFUNCTION("""COMPUTED_VALUE"""),69.03)</f>
        <v>69.03</v>
      </c>
      <c r="D34" s="1">
        <f>IFERROR(__xludf.DUMMYFUNCTION("""COMPUTED_VALUE"""),67.66)</f>
        <v>67.66</v>
      </c>
      <c r="E34" s="1">
        <f>IFERROR(__xludf.DUMMYFUNCTION("""COMPUTED_VALUE"""),68.0)</f>
        <v>68</v>
      </c>
      <c r="F34" s="1">
        <f>IFERROR(__xludf.DUMMYFUNCTION("""COMPUTED_VALUE"""),1.0672098E7)</f>
        <v>10672098</v>
      </c>
    </row>
    <row r="35">
      <c r="A35" s="2">
        <f>IFERROR(__xludf.DUMMYFUNCTION("""COMPUTED_VALUE"""),45341.625)</f>
        <v>45341.625</v>
      </c>
      <c r="B35" s="1">
        <f>IFERROR(__xludf.DUMMYFUNCTION("""COMPUTED_VALUE"""),68.3)</f>
        <v>68.3</v>
      </c>
      <c r="C35" s="1">
        <f>IFERROR(__xludf.DUMMYFUNCTION("""COMPUTED_VALUE"""),68.6)</f>
        <v>68.6</v>
      </c>
      <c r="D35" s="1">
        <f>IFERROR(__xludf.DUMMYFUNCTION("""COMPUTED_VALUE"""),67.62)</f>
        <v>67.62</v>
      </c>
      <c r="E35" s="1">
        <f>IFERROR(__xludf.DUMMYFUNCTION("""COMPUTED_VALUE"""),68.06)</f>
        <v>68.06</v>
      </c>
      <c r="F35" s="1">
        <f>IFERROR(__xludf.DUMMYFUNCTION("""COMPUTED_VALUE"""),2706460.0)</f>
        <v>2706460</v>
      </c>
    </row>
    <row r="36">
      <c r="A36" s="2">
        <f>IFERROR(__xludf.DUMMYFUNCTION("""COMPUTED_VALUE"""),45342.625)</f>
        <v>45342.625</v>
      </c>
      <c r="B36" s="1">
        <f>IFERROR(__xludf.DUMMYFUNCTION("""COMPUTED_VALUE"""),68.01)</f>
        <v>68.01</v>
      </c>
      <c r="C36" s="1">
        <f>IFERROR(__xludf.DUMMYFUNCTION("""COMPUTED_VALUE"""),69.29)</f>
        <v>69.29</v>
      </c>
      <c r="D36" s="1">
        <f>IFERROR(__xludf.DUMMYFUNCTION("""COMPUTED_VALUE"""),68.01)</f>
        <v>68.01</v>
      </c>
      <c r="E36" s="1">
        <f>IFERROR(__xludf.DUMMYFUNCTION("""COMPUTED_VALUE"""),68.81)</f>
        <v>68.81</v>
      </c>
      <c r="F36" s="1">
        <f>IFERROR(__xludf.DUMMYFUNCTION("""COMPUTED_VALUE"""),2.2147091E7)</f>
        <v>22147091</v>
      </c>
    </row>
    <row r="37">
      <c r="A37" s="2">
        <f>IFERROR(__xludf.DUMMYFUNCTION("""COMPUTED_VALUE"""),45343.625)</f>
        <v>45343.625</v>
      </c>
      <c r="B37" s="1">
        <f>IFERROR(__xludf.DUMMYFUNCTION("""COMPUTED_VALUE"""),69.0)</f>
        <v>69</v>
      </c>
      <c r="C37" s="1">
        <f>IFERROR(__xludf.DUMMYFUNCTION("""COMPUTED_VALUE"""),69.24)</f>
        <v>69.24</v>
      </c>
      <c r="D37" s="1">
        <f>IFERROR(__xludf.DUMMYFUNCTION("""COMPUTED_VALUE"""),68.52)</f>
        <v>68.52</v>
      </c>
      <c r="E37" s="1">
        <f>IFERROR(__xludf.DUMMYFUNCTION("""COMPUTED_VALUE"""),68.79)</f>
        <v>68.79</v>
      </c>
      <c r="F37" s="1">
        <f>IFERROR(__xludf.DUMMYFUNCTION("""COMPUTED_VALUE"""),1.7165443E7)</f>
        <v>17165443</v>
      </c>
    </row>
    <row r="38">
      <c r="A38" s="2">
        <f>IFERROR(__xludf.DUMMYFUNCTION("""COMPUTED_VALUE"""),45344.625)</f>
        <v>45344.625</v>
      </c>
      <c r="B38" s="1">
        <f>IFERROR(__xludf.DUMMYFUNCTION("""COMPUTED_VALUE"""),68.61)</f>
        <v>68.61</v>
      </c>
      <c r="C38" s="1">
        <f>IFERROR(__xludf.DUMMYFUNCTION("""COMPUTED_VALUE"""),69.24)</f>
        <v>69.24</v>
      </c>
      <c r="D38" s="1">
        <f>IFERROR(__xludf.DUMMYFUNCTION("""COMPUTED_VALUE"""),68.11)</f>
        <v>68.11</v>
      </c>
      <c r="E38" s="1">
        <f>IFERROR(__xludf.DUMMYFUNCTION("""COMPUTED_VALUE"""),68.73)</f>
        <v>68.73</v>
      </c>
      <c r="F38" s="1">
        <f>IFERROR(__xludf.DUMMYFUNCTION("""COMPUTED_VALUE"""),1.7451233E7)</f>
        <v>17451233</v>
      </c>
    </row>
    <row r="39">
      <c r="A39" s="2">
        <f>IFERROR(__xludf.DUMMYFUNCTION("""COMPUTED_VALUE"""),45345.625)</f>
        <v>45345.625</v>
      </c>
      <c r="B39" s="1">
        <f>IFERROR(__xludf.DUMMYFUNCTION("""COMPUTED_VALUE"""),69.06)</f>
        <v>69.06</v>
      </c>
      <c r="C39" s="1">
        <f>IFERROR(__xludf.DUMMYFUNCTION("""COMPUTED_VALUE"""),69.77)</f>
        <v>69.77</v>
      </c>
      <c r="D39" s="1">
        <f>IFERROR(__xludf.DUMMYFUNCTION("""COMPUTED_VALUE"""),68.64)</f>
        <v>68.64</v>
      </c>
      <c r="E39" s="1">
        <f>IFERROR(__xludf.DUMMYFUNCTION("""COMPUTED_VALUE"""),69.5)</f>
        <v>69.5</v>
      </c>
      <c r="F39" s="1">
        <f>IFERROR(__xludf.DUMMYFUNCTION("""COMPUTED_VALUE"""),1.125482E7)</f>
        <v>11254820</v>
      </c>
    </row>
    <row r="40">
      <c r="A40" s="2">
        <f>IFERROR(__xludf.DUMMYFUNCTION("""COMPUTED_VALUE"""),45348.625)</f>
        <v>45348.625</v>
      </c>
      <c r="B40" s="1">
        <f>IFERROR(__xludf.DUMMYFUNCTION("""COMPUTED_VALUE"""),69.6)</f>
        <v>69.6</v>
      </c>
      <c r="C40" s="1">
        <f>IFERROR(__xludf.DUMMYFUNCTION("""COMPUTED_VALUE"""),69.6)</f>
        <v>69.6</v>
      </c>
      <c r="D40" s="1">
        <f>IFERROR(__xludf.DUMMYFUNCTION("""COMPUTED_VALUE"""),68.51)</f>
        <v>68.51</v>
      </c>
      <c r="E40" s="1">
        <f>IFERROR(__xludf.DUMMYFUNCTION("""COMPUTED_VALUE"""),69.04)</f>
        <v>69.04</v>
      </c>
      <c r="F40" s="1">
        <f>IFERROR(__xludf.DUMMYFUNCTION("""COMPUTED_VALUE"""),1.6097519E7)</f>
        <v>16097519</v>
      </c>
    </row>
    <row r="41">
      <c r="A41" s="2">
        <f>IFERROR(__xludf.DUMMYFUNCTION("""COMPUTED_VALUE"""),45349.625)</f>
        <v>45349.625</v>
      </c>
      <c r="B41" s="1">
        <f>IFERROR(__xludf.DUMMYFUNCTION("""COMPUTED_VALUE"""),69.09)</f>
        <v>69.09</v>
      </c>
      <c r="C41" s="1">
        <f>IFERROR(__xludf.DUMMYFUNCTION("""COMPUTED_VALUE"""),69.09)</f>
        <v>69.09</v>
      </c>
      <c r="D41" s="1">
        <f>IFERROR(__xludf.DUMMYFUNCTION("""COMPUTED_VALUE"""),67.78)</f>
        <v>67.78</v>
      </c>
      <c r="E41" s="1">
        <f>IFERROR(__xludf.DUMMYFUNCTION("""COMPUTED_VALUE"""),67.82)</f>
        <v>67.82</v>
      </c>
      <c r="F41" s="1">
        <f>IFERROR(__xludf.DUMMYFUNCTION("""COMPUTED_VALUE"""),3.2116685E7)</f>
        <v>32116685</v>
      </c>
    </row>
    <row r="42">
      <c r="A42" s="2">
        <f>IFERROR(__xludf.DUMMYFUNCTION("""COMPUTED_VALUE"""),45350.625)</f>
        <v>45350.625</v>
      </c>
      <c r="B42" s="1">
        <f>IFERROR(__xludf.DUMMYFUNCTION("""COMPUTED_VALUE"""),67.92)</f>
        <v>67.92</v>
      </c>
      <c r="C42" s="1">
        <f>IFERROR(__xludf.DUMMYFUNCTION("""COMPUTED_VALUE"""),68.44)</f>
        <v>68.44</v>
      </c>
      <c r="D42" s="1">
        <f>IFERROR(__xludf.DUMMYFUNCTION("""COMPUTED_VALUE"""),67.5)</f>
        <v>67.5</v>
      </c>
      <c r="E42" s="1">
        <f>IFERROR(__xludf.DUMMYFUNCTION("""COMPUTED_VALUE"""),67.74)</f>
        <v>67.74</v>
      </c>
      <c r="F42" s="1">
        <f>IFERROR(__xludf.DUMMYFUNCTION("""COMPUTED_VALUE"""),2.5843686E7)</f>
        <v>25843686</v>
      </c>
    </row>
    <row r="43">
      <c r="A43" s="2">
        <f>IFERROR(__xludf.DUMMYFUNCTION("""COMPUTED_VALUE"""),45351.625)</f>
        <v>45351.625</v>
      </c>
      <c r="B43" s="1">
        <f>IFERROR(__xludf.DUMMYFUNCTION("""COMPUTED_VALUE"""),67.99)</f>
        <v>67.99</v>
      </c>
      <c r="C43" s="1">
        <f>IFERROR(__xludf.DUMMYFUNCTION("""COMPUTED_VALUE"""),68.8)</f>
        <v>68.8</v>
      </c>
      <c r="D43" s="1">
        <f>IFERROR(__xludf.DUMMYFUNCTION("""COMPUTED_VALUE"""),67.9)</f>
        <v>67.9</v>
      </c>
      <c r="E43" s="1">
        <f>IFERROR(__xludf.DUMMYFUNCTION("""COMPUTED_VALUE"""),68.08)</f>
        <v>68.08</v>
      </c>
      <c r="F43" s="1">
        <f>IFERROR(__xludf.DUMMYFUNCTION("""COMPUTED_VALUE"""),3.9799758E7)</f>
        <v>39799758</v>
      </c>
    </row>
    <row r="44">
      <c r="A44" s="2">
        <f>IFERROR(__xludf.DUMMYFUNCTION("""COMPUTED_VALUE"""),45352.625)</f>
        <v>45352.625</v>
      </c>
      <c r="B44" s="1">
        <f>IFERROR(__xludf.DUMMYFUNCTION("""COMPUTED_VALUE"""),67.9)</f>
        <v>67.9</v>
      </c>
      <c r="C44" s="1">
        <f>IFERROR(__xludf.DUMMYFUNCTION("""COMPUTED_VALUE"""),68.54)</f>
        <v>68.54</v>
      </c>
      <c r="D44" s="1">
        <f>IFERROR(__xludf.DUMMYFUNCTION("""COMPUTED_VALUE"""),67.39)</f>
        <v>67.39</v>
      </c>
      <c r="E44" s="1">
        <f>IFERROR(__xludf.DUMMYFUNCTION("""COMPUTED_VALUE"""),67.57)</f>
        <v>67.57</v>
      </c>
      <c r="F44" s="1">
        <f>IFERROR(__xludf.DUMMYFUNCTION("""COMPUTED_VALUE"""),1.1950195E7)</f>
        <v>11950195</v>
      </c>
    </row>
    <row r="45">
      <c r="A45" s="2">
        <f>IFERROR(__xludf.DUMMYFUNCTION("""COMPUTED_VALUE"""),45355.625)</f>
        <v>45355.625</v>
      </c>
      <c r="B45" s="1">
        <f>IFERROR(__xludf.DUMMYFUNCTION("""COMPUTED_VALUE"""),67.77)</f>
        <v>67.77</v>
      </c>
      <c r="C45" s="1">
        <f>IFERROR(__xludf.DUMMYFUNCTION("""COMPUTED_VALUE"""),68.44)</f>
        <v>68.44</v>
      </c>
      <c r="D45" s="1">
        <f>IFERROR(__xludf.DUMMYFUNCTION("""COMPUTED_VALUE"""),67.08)</f>
        <v>67.08</v>
      </c>
      <c r="E45" s="1">
        <f>IFERROR(__xludf.DUMMYFUNCTION("""COMPUTED_VALUE"""),67.24)</f>
        <v>67.24</v>
      </c>
      <c r="F45" s="1">
        <f>IFERROR(__xludf.DUMMYFUNCTION("""COMPUTED_VALUE"""),1.323368E7)</f>
        <v>13233680</v>
      </c>
    </row>
    <row r="46">
      <c r="A46" s="2">
        <f>IFERROR(__xludf.DUMMYFUNCTION("""COMPUTED_VALUE"""),45356.625)</f>
        <v>45356.625</v>
      </c>
      <c r="B46" s="1">
        <f>IFERROR(__xludf.DUMMYFUNCTION("""COMPUTED_VALUE"""),67.25)</f>
        <v>67.25</v>
      </c>
      <c r="C46" s="1">
        <f>IFERROR(__xludf.DUMMYFUNCTION("""COMPUTED_VALUE"""),67.89)</f>
        <v>67.89</v>
      </c>
      <c r="D46" s="1">
        <f>IFERROR(__xludf.DUMMYFUNCTION("""COMPUTED_VALUE"""),66.33)</f>
        <v>66.33</v>
      </c>
      <c r="E46" s="1">
        <f>IFERROR(__xludf.DUMMYFUNCTION("""COMPUTED_VALUE"""),66.79)</f>
        <v>66.79</v>
      </c>
      <c r="F46" s="1">
        <f>IFERROR(__xludf.DUMMYFUNCTION("""COMPUTED_VALUE"""),1.5052669E7)</f>
        <v>15052669</v>
      </c>
    </row>
    <row r="47">
      <c r="A47" s="2">
        <f>IFERROR(__xludf.DUMMYFUNCTION("""COMPUTED_VALUE"""),45357.625)</f>
        <v>45357.625</v>
      </c>
      <c r="B47" s="1">
        <f>IFERROR(__xludf.DUMMYFUNCTION("""COMPUTED_VALUE"""),67.09)</f>
        <v>67.09</v>
      </c>
      <c r="C47" s="1">
        <f>IFERROR(__xludf.DUMMYFUNCTION("""COMPUTED_VALUE"""),67.67)</f>
        <v>67.67</v>
      </c>
      <c r="D47" s="1">
        <f>IFERROR(__xludf.DUMMYFUNCTION("""COMPUTED_VALUE"""),66.71)</f>
        <v>66.71</v>
      </c>
      <c r="E47" s="1">
        <f>IFERROR(__xludf.DUMMYFUNCTION("""COMPUTED_VALUE"""),66.75)</f>
        <v>66.75</v>
      </c>
      <c r="F47" s="1">
        <f>IFERROR(__xludf.DUMMYFUNCTION("""COMPUTED_VALUE"""),1.4592921E7)</f>
        <v>14592921</v>
      </c>
    </row>
    <row r="48">
      <c r="A48" s="2">
        <f>IFERROR(__xludf.DUMMYFUNCTION("""COMPUTED_VALUE"""),45358.625)</f>
        <v>45358.625</v>
      </c>
      <c r="B48" s="1">
        <f>IFERROR(__xludf.DUMMYFUNCTION("""COMPUTED_VALUE"""),66.9)</f>
        <v>66.9</v>
      </c>
      <c r="C48" s="1">
        <f>IFERROR(__xludf.DUMMYFUNCTION("""COMPUTED_VALUE"""),67.35)</f>
        <v>67.35</v>
      </c>
      <c r="D48" s="1">
        <f>IFERROR(__xludf.DUMMYFUNCTION("""COMPUTED_VALUE"""),66.41)</f>
        <v>66.41</v>
      </c>
      <c r="E48" s="1">
        <f>IFERROR(__xludf.DUMMYFUNCTION("""COMPUTED_VALUE"""),66.85)</f>
        <v>66.85</v>
      </c>
      <c r="F48" s="1">
        <f>IFERROR(__xludf.DUMMYFUNCTION("""COMPUTED_VALUE"""),1.7627852E7)</f>
        <v>17627852</v>
      </c>
    </row>
    <row r="49">
      <c r="A49" s="2">
        <f>IFERROR(__xludf.DUMMYFUNCTION("""COMPUTED_VALUE"""),45359.625)</f>
        <v>45359.625</v>
      </c>
      <c r="B49" s="1">
        <f>IFERROR(__xludf.DUMMYFUNCTION("""COMPUTED_VALUE"""),66.7)</f>
        <v>66.7</v>
      </c>
      <c r="C49" s="1">
        <f>IFERROR(__xludf.DUMMYFUNCTION("""COMPUTED_VALUE"""),67.64)</f>
        <v>67.64</v>
      </c>
      <c r="D49" s="1">
        <f>IFERROR(__xludf.DUMMYFUNCTION("""COMPUTED_VALUE"""),66.7)</f>
        <v>66.7</v>
      </c>
      <c r="E49" s="1">
        <f>IFERROR(__xludf.DUMMYFUNCTION("""COMPUTED_VALUE"""),67.12)</f>
        <v>67.12</v>
      </c>
      <c r="F49" s="1">
        <f>IFERROR(__xludf.DUMMYFUNCTION("""COMPUTED_VALUE"""),1.034104E7)</f>
        <v>10341040</v>
      </c>
    </row>
    <row r="50">
      <c r="A50" s="2">
        <f>IFERROR(__xludf.DUMMYFUNCTION("""COMPUTED_VALUE"""),45362.58333333333)</f>
        <v>45362.58333</v>
      </c>
      <c r="B50" s="1">
        <f>IFERROR(__xludf.DUMMYFUNCTION("""COMPUTED_VALUE"""),67.49)</f>
        <v>67.49</v>
      </c>
      <c r="C50" s="1">
        <f>IFERROR(__xludf.DUMMYFUNCTION("""COMPUTED_VALUE"""),67.49)</f>
        <v>67.49</v>
      </c>
      <c r="D50" s="1">
        <f>IFERROR(__xludf.DUMMYFUNCTION("""COMPUTED_VALUE"""),66.5)</f>
        <v>66.5</v>
      </c>
      <c r="E50" s="1">
        <f>IFERROR(__xludf.DUMMYFUNCTION("""COMPUTED_VALUE"""),66.72)</f>
        <v>66.72</v>
      </c>
      <c r="F50" s="1">
        <f>IFERROR(__xludf.DUMMYFUNCTION("""COMPUTED_VALUE"""),1.2086963E7)</f>
        <v>12086963</v>
      </c>
    </row>
    <row r="51">
      <c r="A51" s="2">
        <f>IFERROR(__xludf.DUMMYFUNCTION("""COMPUTED_VALUE"""),45363.58333333333)</f>
        <v>45363.58333</v>
      </c>
      <c r="B51" s="1">
        <f>IFERROR(__xludf.DUMMYFUNCTION("""COMPUTED_VALUE"""),66.72)</f>
        <v>66.72</v>
      </c>
      <c r="C51" s="1">
        <f>IFERROR(__xludf.DUMMYFUNCTION("""COMPUTED_VALUE"""),67.68)</f>
        <v>67.68</v>
      </c>
      <c r="D51" s="1">
        <f>IFERROR(__xludf.DUMMYFUNCTION("""COMPUTED_VALUE"""),66.72)</f>
        <v>66.72</v>
      </c>
      <c r="E51" s="1">
        <f>IFERROR(__xludf.DUMMYFUNCTION("""COMPUTED_VALUE"""),67.08)</f>
        <v>67.08</v>
      </c>
      <c r="F51" s="1">
        <f>IFERROR(__xludf.DUMMYFUNCTION("""COMPUTED_VALUE"""),1.8228468E7)</f>
        <v>18228468</v>
      </c>
    </row>
    <row r="52">
      <c r="A52" s="2">
        <f>IFERROR(__xludf.DUMMYFUNCTION("""COMPUTED_VALUE"""),45364.58333333333)</f>
        <v>45364.58333</v>
      </c>
      <c r="B52" s="1">
        <f>IFERROR(__xludf.DUMMYFUNCTION("""COMPUTED_VALUE"""),67.4)</f>
        <v>67.4</v>
      </c>
      <c r="C52" s="1">
        <f>IFERROR(__xludf.DUMMYFUNCTION("""COMPUTED_VALUE"""),67.41)</f>
        <v>67.41</v>
      </c>
      <c r="D52" s="1">
        <f>IFERROR(__xludf.DUMMYFUNCTION("""COMPUTED_VALUE"""),66.74)</f>
        <v>66.74</v>
      </c>
      <c r="E52" s="1">
        <f>IFERROR(__xludf.DUMMYFUNCTION("""COMPUTED_VALUE"""),67.41)</f>
        <v>67.41</v>
      </c>
      <c r="F52" s="1">
        <f>IFERROR(__xludf.DUMMYFUNCTION("""COMPUTED_VALUE"""),1.5900391E7)</f>
        <v>15900391</v>
      </c>
    </row>
    <row r="53">
      <c r="A53" s="2">
        <f>IFERROR(__xludf.DUMMYFUNCTION("""COMPUTED_VALUE"""),45365.58333333333)</f>
        <v>45365.58333</v>
      </c>
      <c r="B53" s="1">
        <f>IFERROR(__xludf.DUMMYFUNCTION("""COMPUTED_VALUE"""),67.12)</f>
        <v>67.12</v>
      </c>
      <c r="C53" s="1">
        <f>IFERROR(__xludf.DUMMYFUNCTION("""COMPUTED_VALUE"""),67.84)</f>
        <v>67.84</v>
      </c>
      <c r="D53" s="1">
        <f>IFERROR(__xludf.DUMMYFUNCTION("""COMPUTED_VALUE"""),67.11)</f>
        <v>67.11</v>
      </c>
      <c r="E53" s="1">
        <f>IFERROR(__xludf.DUMMYFUNCTION("""COMPUTED_VALUE"""),67.17)</f>
        <v>67.17</v>
      </c>
      <c r="F53" s="1">
        <f>IFERROR(__xludf.DUMMYFUNCTION("""COMPUTED_VALUE"""),1.4080857E7)</f>
        <v>14080857</v>
      </c>
    </row>
    <row r="54">
      <c r="A54" s="2">
        <f>IFERROR(__xludf.DUMMYFUNCTION("""COMPUTED_VALUE"""),45366.58333333333)</f>
        <v>45366.58333</v>
      </c>
      <c r="B54" s="1">
        <f>IFERROR(__xludf.DUMMYFUNCTION("""COMPUTED_VALUE"""),67.5)</f>
        <v>67.5</v>
      </c>
      <c r="C54" s="1">
        <f>IFERROR(__xludf.DUMMYFUNCTION("""COMPUTED_VALUE"""),67.64)</f>
        <v>67.64</v>
      </c>
      <c r="D54" s="1">
        <f>IFERROR(__xludf.DUMMYFUNCTION("""COMPUTED_VALUE"""),66.31)</f>
        <v>66.31</v>
      </c>
      <c r="E54" s="1">
        <f>IFERROR(__xludf.DUMMYFUNCTION("""COMPUTED_VALUE"""),66.49)</f>
        <v>66.49</v>
      </c>
      <c r="F54" s="1">
        <f>IFERROR(__xludf.DUMMYFUNCTION("""COMPUTED_VALUE"""),4.8663809E7)</f>
        <v>48663809</v>
      </c>
    </row>
    <row r="55">
      <c r="A55" s="2">
        <f>IFERROR(__xludf.DUMMYFUNCTION("""COMPUTED_VALUE"""),45370.58333333333)</f>
        <v>45370.58333</v>
      </c>
      <c r="B55" s="1">
        <f>IFERROR(__xludf.DUMMYFUNCTION("""COMPUTED_VALUE"""),66.31)</f>
        <v>66.31</v>
      </c>
      <c r="C55" s="1">
        <f>IFERROR(__xludf.DUMMYFUNCTION("""COMPUTED_VALUE"""),66.8)</f>
        <v>66.8</v>
      </c>
      <c r="D55" s="1">
        <f>IFERROR(__xludf.DUMMYFUNCTION("""COMPUTED_VALUE"""),65.33)</f>
        <v>65.33</v>
      </c>
      <c r="E55" s="1">
        <f>IFERROR(__xludf.DUMMYFUNCTION("""COMPUTED_VALUE"""),65.5)</f>
        <v>65.5</v>
      </c>
      <c r="F55" s="1">
        <f>IFERROR(__xludf.DUMMYFUNCTION("""COMPUTED_VALUE"""),1.6205014E7)</f>
        <v>16205014</v>
      </c>
    </row>
    <row r="56">
      <c r="A56" s="2">
        <f>IFERROR(__xludf.DUMMYFUNCTION("""COMPUTED_VALUE"""),45371.58333333333)</f>
        <v>45371.58333</v>
      </c>
      <c r="B56" s="1">
        <f>IFERROR(__xludf.DUMMYFUNCTION("""COMPUTED_VALUE"""),65.52)</f>
        <v>65.52</v>
      </c>
      <c r="C56" s="1">
        <f>IFERROR(__xludf.DUMMYFUNCTION("""COMPUTED_VALUE"""),68.25)</f>
        <v>68.25</v>
      </c>
      <c r="D56" s="1">
        <f>IFERROR(__xludf.DUMMYFUNCTION("""COMPUTED_VALUE"""),65.52)</f>
        <v>65.52</v>
      </c>
      <c r="E56" s="1">
        <f>IFERROR(__xludf.DUMMYFUNCTION("""COMPUTED_VALUE"""),67.98)</f>
        <v>67.98</v>
      </c>
      <c r="F56" s="1">
        <f>IFERROR(__xludf.DUMMYFUNCTION("""COMPUTED_VALUE"""),1.2211199E7)</f>
        <v>12211199</v>
      </c>
    </row>
    <row r="57">
      <c r="A57" s="2">
        <f>IFERROR(__xludf.DUMMYFUNCTION("""COMPUTED_VALUE"""),45372.58333333333)</f>
        <v>45372.58333</v>
      </c>
      <c r="B57" s="1">
        <f>IFERROR(__xludf.DUMMYFUNCTION("""COMPUTED_VALUE"""),67.98)</f>
        <v>67.98</v>
      </c>
      <c r="C57" s="1">
        <f>IFERROR(__xludf.DUMMYFUNCTION("""COMPUTED_VALUE"""),67.99)</f>
        <v>67.99</v>
      </c>
      <c r="D57" s="1">
        <f>IFERROR(__xludf.DUMMYFUNCTION("""COMPUTED_VALUE"""),67.3)</f>
        <v>67.3</v>
      </c>
      <c r="E57" s="1">
        <f>IFERROR(__xludf.DUMMYFUNCTION("""COMPUTED_VALUE"""),67.59)</f>
        <v>67.59</v>
      </c>
      <c r="F57" s="1">
        <f>IFERROR(__xludf.DUMMYFUNCTION("""COMPUTED_VALUE"""),1.4400598E7)</f>
        <v>14400598</v>
      </c>
    </row>
    <row r="58">
      <c r="A58" s="2">
        <f>IFERROR(__xludf.DUMMYFUNCTION("""COMPUTED_VALUE"""),45373.58333333333)</f>
        <v>45373.58333</v>
      </c>
      <c r="B58" s="1">
        <f>IFERROR(__xludf.DUMMYFUNCTION("""COMPUTED_VALUE"""),67.79)</f>
        <v>67.79</v>
      </c>
      <c r="C58" s="1">
        <f>IFERROR(__xludf.DUMMYFUNCTION("""COMPUTED_VALUE"""),68.05)</f>
        <v>68.05</v>
      </c>
      <c r="D58" s="1">
        <f>IFERROR(__xludf.DUMMYFUNCTION("""COMPUTED_VALUE"""),66.83)</f>
        <v>66.83</v>
      </c>
      <c r="E58" s="1">
        <f>IFERROR(__xludf.DUMMYFUNCTION("""COMPUTED_VALUE"""),66.93)</f>
        <v>66.93</v>
      </c>
      <c r="F58" s="1">
        <f>IFERROR(__xludf.DUMMYFUNCTION("""COMPUTED_VALUE"""),1.3751697E7)</f>
        <v>13751697</v>
      </c>
    </row>
    <row r="59">
      <c r="A59" s="2">
        <f>IFERROR(__xludf.DUMMYFUNCTION("""COMPUTED_VALUE"""),45376.58333333333)</f>
        <v>45376.58333</v>
      </c>
      <c r="B59" s="1">
        <f>IFERROR(__xludf.DUMMYFUNCTION("""COMPUTED_VALUE"""),66.99)</f>
        <v>66.99</v>
      </c>
      <c r="C59" s="1">
        <f>IFERROR(__xludf.DUMMYFUNCTION("""COMPUTED_VALUE"""),67.62)</f>
        <v>67.62</v>
      </c>
      <c r="D59" s="1">
        <f>IFERROR(__xludf.DUMMYFUNCTION("""COMPUTED_VALUE"""),66.64)</f>
        <v>66.64</v>
      </c>
      <c r="E59" s="1">
        <f>IFERROR(__xludf.DUMMYFUNCTION("""COMPUTED_VALUE"""),67.01)</f>
        <v>67.01</v>
      </c>
      <c r="F59" s="1">
        <f>IFERROR(__xludf.DUMMYFUNCTION("""COMPUTED_VALUE"""),6348033.0)</f>
        <v>6348033</v>
      </c>
    </row>
    <row r="60">
      <c r="A60" s="2">
        <f>IFERROR(__xludf.DUMMYFUNCTION("""COMPUTED_VALUE"""),45377.58333333333)</f>
        <v>45377.58333</v>
      </c>
      <c r="B60" s="1">
        <f>IFERROR(__xludf.DUMMYFUNCTION("""COMPUTED_VALUE"""),67.0)</f>
        <v>67</v>
      </c>
      <c r="C60" s="1">
        <f>IFERROR(__xludf.DUMMYFUNCTION("""COMPUTED_VALUE"""),67.3)</f>
        <v>67.3</v>
      </c>
      <c r="D60" s="1">
        <f>IFERROR(__xludf.DUMMYFUNCTION("""COMPUTED_VALUE"""),66.0)</f>
        <v>66</v>
      </c>
      <c r="E60" s="1">
        <f>IFERROR(__xludf.DUMMYFUNCTION("""COMPUTED_VALUE"""),67.12)</f>
        <v>67.12</v>
      </c>
      <c r="F60" s="1">
        <f>IFERROR(__xludf.DUMMYFUNCTION("""COMPUTED_VALUE"""),8697245.0)</f>
        <v>8697245</v>
      </c>
    </row>
    <row r="61">
      <c r="A61" s="2">
        <f>IFERROR(__xludf.DUMMYFUNCTION("""COMPUTED_VALUE"""),45378.58333333333)</f>
        <v>45378.58333</v>
      </c>
      <c r="B61" s="1">
        <f>IFERROR(__xludf.DUMMYFUNCTION("""COMPUTED_VALUE"""),66.96)</f>
        <v>66.96</v>
      </c>
      <c r="C61" s="1">
        <f>IFERROR(__xludf.DUMMYFUNCTION("""COMPUTED_VALUE"""),68.09)</f>
        <v>68.09</v>
      </c>
      <c r="D61" s="1">
        <f>IFERROR(__xludf.DUMMYFUNCTION("""COMPUTED_VALUE"""),66.88)</f>
        <v>66.88</v>
      </c>
      <c r="E61" s="1">
        <f>IFERROR(__xludf.DUMMYFUNCTION("""COMPUTED_VALUE"""),67.2)</f>
        <v>67.2</v>
      </c>
      <c r="F61" s="1">
        <f>IFERROR(__xludf.DUMMYFUNCTION("""COMPUTED_VALUE"""),1.1305284E7)</f>
        <v>11305284</v>
      </c>
    </row>
    <row r="62">
      <c r="A62" s="2">
        <f>IFERROR(__xludf.DUMMYFUNCTION("""COMPUTED_VALUE"""),45383.58333333333)</f>
        <v>45383.58333</v>
      </c>
      <c r="B62" s="1">
        <f>IFERROR(__xludf.DUMMYFUNCTION("""COMPUTED_VALUE"""),67.34)</f>
        <v>67.34</v>
      </c>
      <c r="C62" s="1">
        <f>IFERROR(__xludf.DUMMYFUNCTION("""COMPUTED_VALUE"""),67.34)</f>
        <v>67.34</v>
      </c>
      <c r="D62" s="1">
        <f>IFERROR(__xludf.DUMMYFUNCTION("""COMPUTED_VALUE"""),65.61)</f>
        <v>65.61</v>
      </c>
      <c r="E62" s="1">
        <f>IFERROR(__xludf.DUMMYFUNCTION("""COMPUTED_VALUE"""),66.02)</f>
        <v>66.02</v>
      </c>
      <c r="F62" s="1">
        <f>IFERROR(__xludf.DUMMYFUNCTION("""COMPUTED_VALUE"""),1.5695679E7)</f>
        <v>15695679</v>
      </c>
    </row>
    <row r="63">
      <c r="A63" s="2">
        <f>IFERROR(__xludf.DUMMYFUNCTION("""COMPUTED_VALUE"""),45384.58333333333)</f>
        <v>45384.58333</v>
      </c>
      <c r="B63" s="1">
        <f>IFERROR(__xludf.DUMMYFUNCTION("""COMPUTED_VALUE"""),66.2)</f>
        <v>66.2</v>
      </c>
      <c r="C63" s="1">
        <f>IFERROR(__xludf.DUMMYFUNCTION("""COMPUTED_VALUE"""),66.76)</f>
        <v>66.76</v>
      </c>
      <c r="D63" s="1">
        <f>IFERROR(__xludf.DUMMYFUNCTION("""COMPUTED_VALUE"""),65.41)</f>
        <v>65.41</v>
      </c>
      <c r="E63" s="1">
        <f>IFERROR(__xludf.DUMMYFUNCTION("""COMPUTED_VALUE"""),66.21)</f>
        <v>66.21</v>
      </c>
      <c r="F63" s="1">
        <f>IFERROR(__xludf.DUMMYFUNCTION("""COMPUTED_VALUE"""),1.4022275E7)</f>
        <v>14022275</v>
      </c>
    </row>
    <row r="64">
      <c r="A64" s="2">
        <f>IFERROR(__xludf.DUMMYFUNCTION("""COMPUTED_VALUE"""),45385.58333333333)</f>
        <v>45385.58333</v>
      </c>
      <c r="B64" s="1">
        <f>IFERROR(__xludf.DUMMYFUNCTION("""COMPUTED_VALUE"""),66.22)</f>
        <v>66.22</v>
      </c>
      <c r="C64" s="1">
        <f>IFERROR(__xludf.DUMMYFUNCTION("""COMPUTED_VALUE"""),67.67)</f>
        <v>67.67</v>
      </c>
      <c r="D64" s="1">
        <f>IFERROR(__xludf.DUMMYFUNCTION("""COMPUTED_VALUE"""),65.71)</f>
        <v>65.71</v>
      </c>
      <c r="E64" s="1">
        <f>IFERROR(__xludf.DUMMYFUNCTION("""COMPUTED_VALUE"""),66.58)</f>
        <v>66.58</v>
      </c>
      <c r="F64" s="1">
        <f>IFERROR(__xludf.DUMMYFUNCTION("""COMPUTED_VALUE"""),1.2346591E7)</f>
        <v>12346591</v>
      </c>
    </row>
    <row r="65">
      <c r="A65" s="2">
        <f>IFERROR(__xludf.DUMMYFUNCTION("""COMPUTED_VALUE"""),45386.58333333333)</f>
        <v>45386.58333</v>
      </c>
      <c r="B65" s="1">
        <f>IFERROR(__xludf.DUMMYFUNCTION("""COMPUTED_VALUE"""),66.68)</f>
        <v>66.68</v>
      </c>
      <c r="C65" s="1">
        <f>IFERROR(__xludf.DUMMYFUNCTION("""COMPUTED_VALUE"""),66.69)</f>
        <v>66.69</v>
      </c>
      <c r="D65" s="1">
        <f>IFERROR(__xludf.DUMMYFUNCTION("""COMPUTED_VALUE"""),64.96)</f>
        <v>64.96</v>
      </c>
      <c r="E65" s="1">
        <f>IFERROR(__xludf.DUMMYFUNCTION("""COMPUTED_VALUE"""),65.01)</f>
        <v>65.01</v>
      </c>
      <c r="F65" s="1">
        <f>IFERROR(__xludf.DUMMYFUNCTION("""COMPUTED_VALUE"""),1.2262859E7)</f>
        <v>12262859</v>
      </c>
    </row>
    <row r="66">
      <c r="A66" s="2">
        <f>IFERROR(__xludf.DUMMYFUNCTION("""COMPUTED_VALUE"""),45387.58333333333)</f>
        <v>45387.58333</v>
      </c>
      <c r="B66" s="1">
        <f>IFERROR(__xludf.DUMMYFUNCTION("""COMPUTED_VALUE"""),65.03)</f>
        <v>65.03</v>
      </c>
      <c r="C66" s="1">
        <f>IFERROR(__xludf.DUMMYFUNCTION("""COMPUTED_VALUE"""),66.95)</f>
        <v>66.95</v>
      </c>
      <c r="D66" s="1">
        <f>IFERROR(__xludf.DUMMYFUNCTION("""COMPUTED_VALUE"""),64.71)</f>
        <v>64.71</v>
      </c>
      <c r="E66" s="1">
        <f>IFERROR(__xludf.DUMMYFUNCTION("""COMPUTED_VALUE"""),66.62)</f>
        <v>66.62</v>
      </c>
      <c r="F66" s="1">
        <f>IFERROR(__xludf.DUMMYFUNCTION("""COMPUTED_VALUE"""),1.8417319E7)</f>
        <v>18417319</v>
      </c>
    </row>
    <row r="67">
      <c r="A67" s="2">
        <f>IFERROR(__xludf.DUMMYFUNCTION("""COMPUTED_VALUE"""),45390.58333333333)</f>
        <v>45390.58333</v>
      </c>
      <c r="B67" s="1">
        <f>IFERROR(__xludf.DUMMYFUNCTION("""COMPUTED_VALUE"""),66.61)</f>
        <v>66.61</v>
      </c>
      <c r="C67" s="1">
        <f>IFERROR(__xludf.DUMMYFUNCTION("""COMPUTED_VALUE"""),66.67)</f>
        <v>66.67</v>
      </c>
      <c r="D67" s="1">
        <f>IFERROR(__xludf.DUMMYFUNCTION("""COMPUTED_VALUE"""),65.41)</f>
        <v>65.41</v>
      </c>
      <c r="E67" s="1">
        <f>IFERROR(__xludf.DUMMYFUNCTION("""COMPUTED_VALUE"""),66.0)</f>
        <v>66</v>
      </c>
      <c r="F67" s="1">
        <f>IFERROR(__xludf.DUMMYFUNCTION("""COMPUTED_VALUE"""),9719657.0)</f>
        <v>9719657</v>
      </c>
    </row>
    <row r="68">
      <c r="A68" s="2">
        <f>IFERROR(__xludf.DUMMYFUNCTION("""COMPUTED_VALUE"""),45391.58333333333)</f>
        <v>45391.58333</v>
      </c>
      <c r="B68" s="1">
        <f>IFERROR(__xludf.DUMMYFUNCTION("""COMPUTED_VALUE"""),66.0)</f>
        <v>66</v>
      </c>
      <c r="C68" s="1">
        <f>IFERROR(__xludf.DUMMYFUNCTION("""COMPUTED_VALUE"""),66.28)</f>
        <v>66.28</v>
      </c>
      <c r="D68" s="1">
        <f>IFERROR(__xludf.DUMMYFUNCTION("""COMPUTED_VALUE"""),65.56)</f>
        <v>65.56</v>
      </c>
      <c r="E68" s="1">
        <f>IFERROR(__xludf.DUMMYFUNCTION("""COMPUTED_VALUE"""),65.76)</f>
        <v>65.76</v>
      </c>
      <c r="F68" s="1">
        <f>IFERROR(__xludf.DUMMYFUNCTION("""COMPUTED_VALUE"""),1.1196796E7)</f>
        <v>11196796</v>
      </c>
    </row>
    <row r="69">
      <c r="A69" s="2">
        <f>IFERROR(__xludf.DUMMYFUNCTION("""COMPUTED_VALUE"""),45392.58333333333)</f>
        <v>45392.58333</v>
      </c>
      <c r="B69" s="1">
        <f>IFERROR(__xludf.DUMMYFUNCTION("""COMPUTED_VALUE"""),65.76)</f>
        <v>65.76</v>
      </c>
      <c r="C69" s="1">
        <f>IFERROR(__xludf.DUMMYFUNCTION("""COMPUTED_VALUE"""),65.84)</f>
        <v>65.84</v>
      </c>
      <c r="D69" s="1">
        <f>IFERROR(__xludf.DUMMYFUNCTION("""COMPUTED_VALUE"""),64.31)</f>
        <v>64.31</v>
      </c>
      <c r="E69" s="1">
        <f>IFERROR(__xludf.DUMMYFUNCTION("""COMPUTED_VALUE"""),65.17)</f>
        <v>65.17</v>
      </c>
      <c r="F69" s="1">
        <f>IFERROR(__xludf.DUMMYFUNCTION("""COMPUTED_VALUE"""),1.4785989E7)</f>
        <v>14785989</v>
      </c>
    </row>
    <row r="70">
      <c r="A70" s="2">
        <f>IFERROR(__xludf.DUMMYFUNCTION("""COMPUTED_VALUE"""),45393.58333333333)</f>
        <v>45393.58333</v>
      </c>
      <c r="B70" s="1">
        <f>IFERROR(__xludf.DUMMYFUNCTION("""COMPUTED_VALUE"""),65.19)</f>
        <v>65.19</v>
      </c>
      <c r="C70" s="1">
        <f>IFERROR(__xludf.DUMMYFUNCTION("""COMPUTED_VALUE"""),66.04)</f>
        <v>66.04</v>
      </c>
      <c r="D70" s="1">
        <f>IFERROR(__xludf.DUMMYFUNCTION("""COMPUTED_VALUE"""),64.59)</f>
        <v>64.59</v>
      </c>
      <c r="E70" s="1">
        <f>IFERROR(__xludf.DUMMYFUNCTION("""COMPUTED_VALUE"""),65.88)</f>
        <v>65.88</v>
      </c>
      <c r="F70" s="1">
        <f>IFERROR(__xludf.DUMMYFUNCTION("""COMPUTED_VALUE"""),1.2867625E7)</f>
        <v>12867625</v>
      </c>
    </row>
    <row r="71">
      <c r="A71" s="2">
        <f>IFERROR(__xludf.DUMMYFUNCTION("""COMPUTED_VALUE"""),45394.58333333333)</f>
        <v>45394.58333</v>
      </c>
      <c r="B71" s="1">
        <f>IFERROR(__xludf.DUMMYFUNCTION("""COMPUTED_VALUE"""),65.86)</f>
        <v>65.86</v>
      </c>
      <c r="C71" s="1">
        <f>IFERROR(__xludf.DUMMYFUNCTION("""COMPUTED_VALUE"""),65.86)</f>
        <v>65.86</v>
      </c>
      <c r="D71" s="1">
        <f>IFERROR(__xludf.DUMMYFUNCTION("""COMPUTED_VALUE"""),64.57)</f>
        <v>64.57</v>
      </c>
      <c r="E71" s="1">
        <f>IFERROR(__xludf.DUMMYFUNCTION("""COMPUTED_VALUE"""),64.91)</f>
        <v>64.91</v>
      </c>
      <c r="F71" s="1">
        <f>IFERROR(__xludf.DUMMYFUNCTION("""COMPUTED_VALUE"""),9928966.0)</f>
        <v>9928966</v>
      </c>
    </row>
    <row r="72">
      <c r="A72" s="2">
        <f>IFERROR(__xludf.DUMMYFUNCTION("""COMPUTED_VALUE"""),45397.58333333333)</f>
        <v>45397.58333</v>
      </c>
      <c r="B72" s="1">
        <f>IFERROR(__xludf.DUMMYFUNCTION("""COMPUTED_VALUE"""),64.7)</f>
        <v>64.7</v>
      </c>
      <c r="C72" s="1">
        <f>IFERROR(__xludf.DUMMYFUNCTION("""COMPUTED_VALUE"""),65.98)</f>
        <v>65.98</v>
      </c>
      <c r="D72" s="1">
        <f>IFERROR(__xludf.DUMMYFUNCTION("""COMPUTED_VALUE"""),64.31)</f>
        <v>64.31</v>
      </c>
      <c r="E72" s="1">
        <f>IFERROR(__xludf.DUMMYFUNCTION("""COMPUTED_VALUE"""),65.36)</f>
        <v>65.36</v>
      </c>
      <c r="F72" s="1">
        <f>IFERROR(__xludf.DUMMYFUNCTION("""COMPUTED_VALUE"""),1.2808427E7)</f>
        <v>12808427</v>
      </c>
    </row>
    <row r="73">
      <c r="A73" s="2">
        <f>IFERROR(__xludf.DUMMYFUNCTION("""COMPUTED_VALUE"""),45398.58333333333)</f>
        <v>45398.58333</v>
      </c>
      <c r="B73" s="1">
        <f>IFERROR(__xludf.DUMMYFUNCTION("""COMPUTED_VALUE"""),65.43)</f>
        <v>65.43</v>
      </c>
      <c r="C73" s="1">
        <f>IFERROR(__xludf.DUMMYFUNCTION("""COMPUTED_VALUE"""),65.68)</f>
        <v>65.68</v>
      </c>
      <c r="D73" s="1">
        <f>IFERROR(__xludf.DUMMYFUNCTION("""COMPUTED_VALUE"""),63.4)</f>
        <v>63.4</v>
      </c>
      <c r="E73" s="1">
        <f>IFERROR(__xludf.DUMMYFUNCTION("""COMPUTED_VALUE"""),63.4)</f>
        <v>63.4</v>
      </c>
      <c r="F73" s="1">
        <f>IFERROR(__xludf.DUMMYFUNCTION("""COMPUTED_VALUE"""),1.7751615E7)</f>
        <v>17751615</v>
      </c>
    </row>
    <row r="74">
      <c r="A74" s="2">
        <f>IFERROR(__xludf.DUMMYFUNCTION("""COMPUTED_VALUE"""),45399.58333333333)</f>
        <v>45399.58333</v>
      </c>
      <c r="B74" s="1">
        <f>IFERROR(__xludf.DUMMYFUNCTION("""COMPUTED_VALUE"""),63.48)</f>
        <v>63.48</v>
      </c>
      <c r="C74" s="1">
        <f>IFERROR(__xludf.DUMMYFUNCTION("""COMPUTED_VALUE"""),64.27)</f>
        <v>64.27</v>
      </c>
      <c r="D74" s="1">
        <f>IFERROR(__xludf.DUMMYFUNCTION("""COMPUTED_VALUE"""),63.02)</f>
        <v>63.02</v>
      </c>
      <c r="E74" s="1">
        <f>IFERROR(__xludf.DUMMYFUNCTION("""COMPUTED_VALUE"""),63.62)</f>
        <v>63.62</v>
      </c>
      <c r="F74" s="1">
        <f>IFERROR(__xludf.DUMMYFUNCTION("""COMPUTED_VALUE"""),2.5287975E7)</f>
        <v>25287975</v>
      </c>
    </row>
    <row r="75">
      <c r="A75" s="2">
        <f>IFERROR(__xludf.DUMMYFUNCTION("""COMPUTED_VALUE"""),45400.58333333333)</f>
        <v>45400.58333</v>
      </c>
      <c r="B75" s="1">
        <f>IFERROR(__xludf.DUMMYFUNCTION("""COMPUTED_VALUE"""),63.62)</f>
        <v>63.62</v>
      </c>
      <c r="C75" s="1">
        <f>IFERROR(__xludf.DUMMYFUNCTION("""COMPUTED_VALUE"""),63.99)</f>
        <v>63.99</v>
      </c>
      <c r="D75" s="1">
        <f>IFERROR(__xludf.DUMMYFUNCTION("""COMPUTED_VALUE"""),62.73)</f>
        <v>62.73</v>
      </c>
      <c r="E75" s="1">
        <f>IFERROR(__xludf.DUMMYFUNCTION("""COMPUTED_VALUE"""),63.19)</f>
        <v>63.19</v>
      </c>
      <c r="F75" s="1">
        <f>IFERROR(__xludf.DUMMYFUNCTION("""COMPUTED_VALUE"""),2.1323891E7)</f>
        <v>21323891</v>
      </c>
    </row>
    <row r="76">
      <c r="A76" s="2">
        <f>IFERROR(__xludf.DUMMYFUNCTION("""COMPUTED_VALUE"""),45401.58333333333)</f>
        <v>45401.58333</v>
      </c>
      <c r="B76" s="1">
        <f>IFERROR(__xludf.DUMMYFUNCTION("""COMPUTED_VALUE"""),63.93)</f>
        <v>63.93</v>
      </c>
      <c r="C76" s="1">
        <f>IFERROR(__xludf.DUMMYFUNCTION("""COMPUTED_VALUE"""),64.5)</f>
        <v>64.5</v>
      </c>
      <c r="D76" s="1">
        <f>IFERROR(__xludf.DUMMYFUNCTION("""COMPUTED_VALUE"""),63.04)</f>
        <v>63.04</v>
      </c>
      <c r="E76" s="1">
        <f>IFERROR(__xludf.DUMMYFUNCTION("""COMPUTED_VALUE"""),64.28)</f>
        <v>64.28</v>
      </c>
      <c r="F76" s="1">
        <f>IFERROR(__xludf.DUMMYFUNCTION("""COMPUTED_VALUE"""),1.0005115E7)</f>
        <v>10005115</v>
      </c>
    </row>
    <row r="77">
      <c r="A77" s="2">
        <f>IFERROR(__xludf.DUMMYFUNCTION("""COMPUTED_VALUE"""),45404.58333333333)</f>
        <v>45404.58333</v>
      </c>
      <c r="B77" s="1">
        <f>IFERROR(__xludf.DUMMYFUNCTION("""COMPUTED_VALUE"""),64.42)</f>
        <v>64.42</v>
      </c>
      <c r="C77" s="1">
        <f>IFERROR(__xludf.DUMMYFUNCTION("""COMPUTED_VALUE"""),64.85)</f>
        <v>64.85</v>
      </c>
      <c r="D77" s="1">
        <f>IFERROR(__xludf.DUMMYFUNCTION("""COMPUTED_VALUE"""),63.61)</f>
        <v>63.61</v>
      </c>
      <c r="E77" s="1">
        <f>IFERROR(__xludf.DUMMYFUNCTION("""COMPUTED_VALUE"""),64.09)</f>
        <v>64.09</v>
      </c>
      <c r="F77" s="1">
        <f>IFERROR(__xludf.DUMMYFUNCTION("""COMPUTED_VALUE"""),1.064261E7)</f>
        <v>10642610</v>
      </c>
    </row>
    <row r="78">
      <c r="A78" s="2">
        <f>IFERROR(__xludf.DUMMYFUNCTION("""COMPUTED_VALUE"""),45405.58333333333)</f>
        <v>45405.58333</v>
      </c>
      <c r="B78" s="1">
        <f>IFERROR(__xludf.DUMMYFUNCTION("""COMPUTED_VALUE"""),64.34)</f>
        <v>64.34</v>
      </c>
      <c r="C78" s="1">
        <f>IFERROR(__xludf.DUMMYFUNCTION("""COMPUTED_VALUE"""),65.43)</f>
        <v>65.43</v>
      </c>
      <c r="D78" s="1">
        <f>IFERROR(__xludf.DUMMYFUNCTION("""COMPUTED_VALUE"""),63.91)</f>
        <v>63.91</v>
      </c>
      <c r="E78" s="1">
        <f>IFERROR(__xludf.DUMMYFUNCTION("""COMPUTED_VALUE"""),65.03)</f>
        <v>65.03</v>
      </c>
      <c r="F78" s="1">
        <f>IFERROR(__xludf.DUMMYFUNCTION("""COMPUTED_VALUE"""),1.5439905E7)</f>
        <v>15439905</v>
      </c>
    </row>
    <row r="79">
      <c r="A79" s="2">
        <f>IFERROR(__xludf.DUMMYFUNCTION("""COMPUTED_VALUE"""),45406.58333333333)</f>
        <v>45406.58333</v>
      </c>
      <c r="B79" s="1">
        <f>IFERROR(__xludf.DUMMYFUNCTION("""COMPUTED_VALUE"""),65.21)</f>
        <v>65.21</v>
      </c>
      <c r="C79" s="1">
        <f>IFERROR(__xludf.DUMMYFUNCTION("""COMPUTED_VALUE"""),66.78)</f>
        <v>66.78</v>
      </c>
      <c r="D79" s="1">
        <f>IFERROR(__xludf.DUMMYFUNCTION("""COMPUTED_VALUE"""),64.91)</f>
        <v>64.91</v>
      </c>
      <c r="E79" s="1">
        <f>IFERROR(__xludf.DUMMYFUNCTION("""COMPUTED_VALUE"""),65.92)</f>
        <v>65.92</v>
      </c>
      <c r="F79" s="1">
        <f>IFERROR(__xludf.DUMMYFUNCTION("""COMPUTED_VALUE"""),1.6669659E7)</f>
        <v>16669659</v>
      </c>
    </row>
    <row r="80">
      <c r="A80" s="2">
        <f>IFERROR(__xludf.DUMMYFUNCTION("""COMPUTED_VALUE"""),45407.58333333333)</f>
        <v>45407.58333</v>
      </c>
      <c r="B80" s="1">
        <f>IFERROR(__xludf.DUMMYFUNCTION("""COMPUTED_VALUE"""),66.52)</f>
        <v>66.52</v>
      </c>
      <c r="C80" s="1">
        <f>IFERROR(__xludf.DUMMYFUNCTION("""COMPUTED_VALUE"""),68.25)</f>
        <v>68.25</v>
      </c>
      <c r="D80" s="1">
        <f>IFERROR(__xludf.DUMMYFUNCTION("""COMPUTED_VALUE"""),66.25)</f>
        <v>66.25</v>
      </c>
      <c r="E80" s="1">
        <f>IFERROR(__xludf.DUMMYFUNCTION("""COMPUTED_VALUE"""),67.67)</f>
        <v>67.67</v>
      </c>
      <c r="F80" s="1">
        <f>IFERROR(__xludf.DUMMYFUNCTION("""COMPUTED_VALUE"""),3.197903E7)</f>
        <v>31979030</v>
      </c>
    </row>
    <row r="81">
      <c r="A81" s="2">
        <f>IFERROR(__xludf.DUMMYFUNCTION("""COMPUTED_VALUE"""),45408.58333333333)</f>
        <v>45408.58333</v>
      </c>
      <c r="B81" s="1">
        <f>IFERROR(__xludf.DUMMYFUNCTION("""COMPUTED_VALUE"""),67.32)</f>
        <v>67.32</v>
      </c>
      <c r="C81" s="1">
        <f>IFERROR(__xludf.DUMMYFUNCTION("""COMPUTED_VALUE"""),67.84)</f>
        <v>67.84</v>
      </c>
      <c r="D81" s="1">
        <f>IFERROR(__xludf.DUMMYFUNCTION("""COMPUTED_VALUE"""),66.25)</f>
        <v>66.25</v>
      </c>
      <c r="E81" s="1">
        <f>IFERROR(__xludf.DUMMYFUNCTION("""COMPUTED_VALUE"""),66.65)</f>
        <v>66.65</v>
      </c>
      <c r="F81" s="1">
        <f>IFERROR(__xludf.DUMMYFUNCTION("""COMPUTED_VALUE"""),1.2269742E7)</f>
        <v>12269742</v>
      </c>
    </row>
    <row r="82">
      <c r="A82" s="2">
        <f>IFERROR(__xludf.DUMMYFUNCTION("""COMPUTED_VALUE"""),45411.58333333333)</f>
        <v>45411.58333</v>
      </c>
      <c r="B82" s="1">
        <f>IFERROR(__xludf.DUMMYFUNCTION("""COMPUTED_VALUE"""),66.84)</f>
        <v>66.84</v>
      </c>
      <c r="C82" s="1">
        <f>IFERROR(__xludf.DUMMYFUNCTION("""COMPUTED_VALUE"""),67.04)</f>
        <v>67.04</v>
      </c>
      <c r="D82" s="1">
        <f>IFERROR(__xludf.DUMMYFUNCTION("""COMPUTED_VALUE"""),66.11)</f>
        <v>66.11</v>
      </c>
      <c r="E82" s="1">
        <f>IFERROR(__xludf.DUMMYFUNCTION("""COMPUTED_VALUE"""),66.98)</f>
        <v>66.98</v>
      </c>
      <c r="F82" s="1">
        <f>IFERROR(__xludf.DUMMYFUNCTION("""COMPUTED_VALUE"""),1.5585572E7)</f>
        <v>15585572</v>
      </c>
    </row>
    <row r="83">
      <c r="A83" s="2">
        <f>IFERROR(__xludf.DUMMYFUNCTION("""COMPUTED_VALUE"""),45412.58333333333)</f>
        <v>45412.58333</v>
      </c>
      <c r="B83" s="1">
        <f>IFERROR(__xludf.DUMMYFUNCTION("""COMPUTED_VALUE"""),66.89)</f>
        <v>66.89</v>
      </c>
      <c r="C83" s="1">
        <f>IFERROR(__xludf.DUMMYFUNCTION("""COMPUTED_VALUE"""),67.68)</f>
        <v>67.68</v>
      </c>
      <c r="D83" s="1">
        <f>IFERROR(__xludf.DUMMYFUNCTION("""COMPUTED_VALUE"""),63.85)</f>
        <v>63.85</v>
      </c>
      <c r="E83" s="1">
        <f>IFERROR(__xludf.DUMMYFUNCTION("""COMPUTED_VALUE"""),63.85)</f>
        <v>63.85</v>
      </c>
      <c r="F83" s="1">
        <f>IFERROR(__xludf.DUMMYFUNCTION("""COMPUTED_VALUE"""),2.7162419E7)</f>
        <v>27162419</v>
      </c>
    </row>
    <row r="84">
      <c r="A84" s="2">
        <f>IFERROR(__xludf.DUMMYFUNCTION("""COMPUTED_VALUE"""),45414.58333333333)</f>
        <v>45414.58333</v>
      </c>
      <c r="B84" s="1">
        <f>IFERROR(__xludf.DUMMYFUNCTION("""COMPUTED_VALUE"""),64.37)</f>
        <v>64.37</v>
      </c>
      <c r="C84" s="1">
        <f>IFERROR(__xludf.DUMMYFUNCTION("""COMPUTED_VALUE"""),64.37)</f>
        <v>64.37</v>
      </c>
      <c r="D84" s="1">
        <f>IFERROR(__xludf.DUMMYFUNCTION("""COMPUTED_VALUE"""),63.25)</f>
        <v>63.25</v>
      </c>
      <c r="E84" s="1">
        <f>IFERROR(__xludf.DUMMYFUNCTION("""COMPUTED_VALUE"""),63.31)</f>
        <v>63.31</v>
      </c>
      <c r="F84" s="1">
        <f>IFERROR(__xludf.DUMMYFUNCTION("""COMPUTED_VALUE"""),2.7230978E7)</f>
        <v>27230978</v>
      </c>
    </row>
    <row r="85">
      <c r="A85" s="2">
        <f>IFERROR(__xludf.DUMMYFUNCTION("""COMPUTED_VALUE"""),45415.58333333333)</f>
        <v>45415.58333</v>
      </c>
      <c r="B85" s="1">
        <f>IFERROR(__xludf.DUMMYFUNCTION("""COMPUTED_VALUE"""),63.49)</f>
        <v>63.49</v>
      </c>
      <c r="C85" s="1">
        <f>IFERROR(__xludf.DUMMYFUNCTION("""COMPUTED_VALUE"""),64.55)</f>
        <v>64.55</v>
      </c>
      <c r="D85" s="1">
        <f>IFERROR(__xludf.DUMMYFUNCTION("""COMPUTED_VALUE"""),63.36)</f>
        <v>63.36</v>
      </c>
      <c r="E85" s="1">
        <f>IFERROR(__xludf.DUMMYFUNCTION("""COMPUTED_VALUE"""),64.24)</f>
        <v>64.24</v>
      </c>
      <c r="F85" s="1">
        <f>IFERROR(__xludf.DUMMYFUNCTION("""COMPUTED_VALUE"""),1.2095707E7)</f>
        <v>12095707</v>
      </c>
    </row>
    <row r="86">
      <c r="A86" s="2">
        <f>IFERROR(__xludf.DUMMYFUNCTION("""COMPUTED_VALUE"""),45418.58333333333)</f>
        <v>45418.58333</v>
      </c>
      <c r="B86" s="1">
        <f>IFERROR(__xludf.DUMMYFUNCTION("""COMPUTED_VALUE"""),64.59)</f>
        <v>64.59</v>
      </c>
      <c r="C86" s="1">
        <f>IFERROR(__xludf.DUMMYFUNCTION("""COMPUTED_VALUE"""),65.85)</f>
        <v>65.85</v>
      </c>
      <c r="D86" s="1">
        <f>IFERROR(__xludf.DUMMYFUNCTION("""COMPUTED_VALUE"""),63.78)</f>
        <v>63.78</v>
      </c>
      <c r="E86" s="1">
        <f>IFERROR(__xludf.DUMMYFUNCTION("""COMPUTED_VALUE"""),65.74)</f>
        <v>65.74</v>
      </c>
      <c r="F86" s="1">
        <f>IFERROR(__xludf.DUMMYFUNCTION("""COMPUTED_VALUE"""),1.7157672E7)</f>
        <v>17157672</v>
      </c>
    </row>
    <row r="87">
      <c r="A87" s="2">
        <f>IFERROR(__xludf.DUMMYFUNCTION("""COMPUTED_VALUE"""),45419.58333333333)</f>
        <v>45419.58333</v>
      </c>
      <c r="B87" s="1">
        <f>IFERROR(__xludf.DUMMYFUNCTION("""COMPUTED_VALUE"""),65.85)</f>
        <v>65.85</v>
      </c>
      <c r="C87" s="1">
        <f>IFERROR(__xludf.DUMMYFUNCTION("""COMPUTED_VALUE"""),65.85)</f>
        <v>65.85</v>
      </c>
      <c r="D87" s="1">
        <f>IFERROR(__xludf.DUMMYFUNCTION("""COMPUTED_VALUE"""),64.81)</f>
        <v>64.81</v>
      </c>
      <c r="E87" s="1">
        <f>IFERROR(__xludf.DUMMYFUNCTION("""COMPUTED_VALUE"""),65.51)</f>
        <v>65.51</v>
      </c>
      <c r="F87" s="1">
        <f>IFERROR(__xludf.DUMMYFUNCTION("""COMPUTED_VALUE"""),2.7626193E7)</f>
        <v>27626193</v>
      </c>
    </row>
    <row r="88">
      <c r="A88" s="2">
        <f>IFERROR(__xludf.DUMMYFUNCTION("""COMPUTED_VALUE"""),45420.58333333333)</f>
        <v>45420.58333</v>
      </c>
      <c r="B88" s="1">
        <f>IFERROR(__xludf.DUMMYFUNCTION("""COMPUTED_VALUE"""),65.9)</f>
        <v>65.9</v>
      </c>
      <c r="C88" s="1">
        <f>IFERROR(__xludf.DUMMYFUNCTION("""COMPUTED_VALUE"""),65.9)</f>
        <v>65.9</v>
      </c>
      <c r="D88" s="1">
        <f>IFERROR(__xludf.DUMMYFUNCTION("""COMPUTED_VALUE"""),65.9)</f>
        <v>65.9</v>
      </c>
      <c r="E88" s="1">
        <f>IFERROR(__xludf.DUMMYFUNCTION("""COMPUTED_VALUE"""),66.48)</f>
        <v>66.48</v>
      </c>
      <c r="F88" s="1">
        <f>IFERROR(__xludf.DUMMYFUNCTION("""COMPUTED_VALUE"""),2936017.0)</f>
        <v>2936017</v>
      </c>
    </row>
    <row r="89">
      <c r="A89" s="2">
        <f>IFERROR(__xludf.DUMMYFUNCTION("""COMPUTED_VALUE"""),45421.58333333333)</f>
        <v>45421.58333</v>
      </c>
      <c r="B89" s="1">
        <f>IFERROR(__xludf.DUMMYFUNCTION("""COMPUTED_VALUE"""),66.21)</f>
        <v>66.21</v>
      </c>
      <c r="C89" s="1">
        <f>IFERROR(__xludf.DUMMYFUNCTION("""COMPUTED_VALUE"""),68.57)</f>
        <v>68.57</v>
      </c>
      <c r="D89" s="1">
        <f>IFERROR(__xludf.DUMMYFUNCTION("""COMPUTED_VALUE"""),66.21)</f>
        <v>66.21</v>
      </c>
      <c r="E89" s="1">
        <f>IFERROR(__xludf.DUMMYFUNCTION("""COMPUTED_VALUE"""),68.52)</f>
        <v>68.52</v>
      </c>
      <c r="F89" s="1">
        <f>IFERROR(__xludf.DUMMYFUNCTION("""COMPUTED_VALUE"""),3.0775481E7)</f>
        <v>30775481</v>
      </c>
    </row>
    <row r="90">
      <c r="A90" s="2">
        <f>IFERROR(__xludf.DUMMYFUNCTION("""COMPUTED_VALUE"""),45422.58333333333)</f>
        <v>45422.58333</v>
      </c>
      <c r="B90" s="1">
        <f>IFERROR(__xludf.DUMMYFUNCTION("""COMPUTED_VALUE"""),68.11)</f>
        <v>68.11</v>
      </c>
      <c r="C90" s="1">
        <f>IFERROR(__xludf.DUMMYFUNCTION("""COMPUTED_VALUE"""),69.2)</f>
        <v>69.2</v>
      </c>
      <c r="D90" s="1">
        <f>IFERROR(__xludf.DUMMYFUNCTION("""COMPUTED_VALUE"""),68.11)</f>
        <v>68.11</v>
      </c>
      <c r="E90" s="1">
        <f>IFERROR(__xludf.DUMMYFUNCTION("""COMPUTED_VALUE"""),69.07)</f>
        <v>69.07</v>
      </c>
      <c r="F90" s="1">
        <f>IFERROR(__xludf.DUMMYFUNCTION("""COMPUTED_VALUE"""),1.9754195E7)</f>
        <v>19754195</v>
      </c>
    </row>
    <row r="91">
      <c r="A91" s="2">
        <f>IFERROR(__xludf.DUMMYFUNCTION("""COMPUTED_VALUE"""),45425.58333333333)</f>
        <v>45425.58333</v>
      </c>
      <c r="B91" s="1">
        <f>IFERROR(__xludf.DUMMYFUNCTION("""COMPUTED_VALUE"""),69.14)</f>
        <v>69.14</v>
      </c>
      <c r="C91" s="1">
        <f>IFERROR(__xludf.DUMMYFUNCTION("""COMPUTED_VALUE"""),69.45)</f>
        <v>69.45</v>
      </c>
      <c r="D91" s="1">
        <f>IFERROR(__xludf.DUMMYFUNCTION("""COMPUTED_VALUE"""),68.09)</f>
        <v>68.09</v>
      </c>
      <c r="E91" s="1">
        <f>IFERROR(__xludf.DUMMYFUNCTION("""COMPUTED_VALUE"""),68.39)</f>
        <v>68.39</v>
      </c>
      <c r="F91" s="1">
        <f>IFERROR(__xludf.DUMMYFUNCTION("""COMPUTED_VALUE"""),1.4583702E7)</f>
        <v>14583702</v>
      </c>
    </row>
    <row r="92">
      <c r="A92" s="2">
        <f>IFERROR(__xludf.DUMMYFUNCTION("""COMPUTED_VALUE"""),45426.58333333333)</f>
        <v>45426.58333</v>
      </c>
      <c r="B92" s="1">
        <f>IFERROR(__xludf.DUMMYFUNCTION("""COMPUTED_VALUE"""),68.74)</f>
        <v>68.74</v>
      </c>
      <c r="C92" s="1">
        <f>IFERROR(__xludf.DUMMYFUNCTION("""COMPUTED_VALUE"""),68.74)</f>
        <v>68.74</v>
      </c>
      <c r="D92" s="1">
        <f>IFERROR(__xludf.DUMMYFUNCTION("""COMPUTED_VALUE"""),66.59)</f>
        <v>66.59</v>
      </c>
      <c r="E92" s="1">
        <f>IFERROR(__xludf.DUMMYFUNCTION("""COMPUTED_VALUE"""),67.13)</f>
        <v>67.13</v>
      </c>
      <c r="F92" s="1">
        <f>IFERROR(__xludf.DUMMYFUNCTION("""COMPUTED_VALUE"""),1.4760832E7)</f>
        <v>14760832</v>
      </c>
    </row>
    <row r="93">
      <c r="A93" s="2">
        <f>IFERROR(__xludf.DUMMYFUNCTION("""COMPUTED_VALUE"""),45427.58333333333)</f>
        <v>45427.58333</v>
      </c>
      <c r="B93" s="1">
        <f>IFERROR(__xludf.DUMMYFUNCTION("""COMPUTED_VALUE"""),67.05)</f>
        <v>67.05</v>
      </c>
      <c r="C93" s="1">
        <f>IFERROR(__xludf.DUMMYFUNCTION("""COMPUTED_VALUE"""),68.94)</f>
        <v>68.94</v>
      </c>
      <c r="D93" s="1">
        <f>IFERROR(__xludf.DUMMYFUNCTION("""COMPUTED_VALUE"""),66.81)</f>
        <v>66.81</v>
      </c>
      <c r="E93" s="1">
        <f>IFERROR(__xludf.DUMMYFUNCTION("""COMPUTED_VALUE"""),67.93)</f>
        <v>67.93</v>
      </c>
      <c r="F93" s="1">
        <f>IFERROR(__xludf.DUMMYFUNCTION("""COMPUTED_VALUE"""),1.1500471E7)</f>
        <v>11500471</v>
      </c>
    </row>
    <row r="94">
      <c r="A94" s="2">
        <f>IFERROR(__xludf.DUMMYFUNCTION("""COMPUTED_VALUE"""),45428.58333333333)</f>
        <v>45428.58333</v>
      </c>
      <c r="B94" s="1">
        <f>IFERROR(__xludf.DUMMYFUNCTION("""COMPUTED_VALUE"""),67.61)</f>
        <v>67.61</v>
      </c>
      <c r="C94" s="1">
        <f>IFERROR(__xludf.DUMMYFUNCTION("""COMPUTED_VALUE"""),68.8)</f>
        <v>68.8</v>
      </c>
      <c r="D94" s="1">
        <f>IFERROR(__xludf.DUMMYFUNCTION("""COMPUTED_VALUE"""),67.31)</f>
        <v>67.31</v>
      </c>
      <c r="E94" s="1">
        <f>IFERROR(__xludf.DUMMYFUNCTION("""COMPUTED_VALUE"""),68.3)</f>
        <v>68.3</v>
      </c>
      <c r="F94" s="1">
        <f>IFERROR(__xludf.DUMMYFUNCTION("""COMPUTED_VALUE"""),1.4951215E7)</f>
        <v>14951215</v>
      </c>
    </row>
    <row r="95">
      <c r="A95" s="2">
        <f>IFERROR(__xludf.DUMMYFUNCTION("""COMPUTED_VALUE"""),45429.58333333333)</f>
        <v>45429.58333</v>
      </c>
      <c r="B95" s="1">
        <f>IFERROR(__xludf.DUMMYFUNCTION("""COMPUTED_VALUE"""),67.82)</f>
        <v>67.82</v>
      </c>
      <c r="C95" s="1">
        <f>IFERROR(__xludf.DUMMYFUNCTION("""COMPUTED_VALUE"""),68.04)</f>
        <v>68.04</v>
      </c>
      <c r="D95" s="1">
        <f>IFERROR(__xludf.DUMMYFUNCTION("""COMPUTED_VALUE"""),67.12)</f>
        <v>67.12</v>
      </c>
      <c r="E95" s="1">
        <f>IFERROR(__xludf.DUMMYFUNCTION("""COMPUTED_VALUE"""),67.99)</f>
        <v>67.99</v>
      </c>
      <c r="F95" s="1">
        <f>IFERROR(__xludf.DUMMYFUNCTION("""COMPUTED_VALUE"""),6770407.0)</f>
        <v>6770407</v>
      </c>
    </row>
    <row r="96">
      <c r="A96" s="2">
        <f>IFERROR(__xludf.DUMMYFUNCTION("""COMPUTED_VALUE"""),45432.58333333333)</f>
        <v>45432.58333</v>
      </c>
      <c r="B96" s="1">
        <f>IFERROR(__xludf.DUMMYFUNCTION("""COMPUTED_VALUE"""),68.0)</f>
        <v>68</v>
      </c>
      <c r="C96" s="1">
        <f>IFERROR(__xludf.DUMMYFUNCTION("""COMPUTED_VALUE"""),68.28)</f>
        <v>68.28</v>
      </c>
      <c r="D96" s="1">
        <f>IFERROR(__xludf.DUMMYFUNCTION("""COMPUTED_VALUE"""),67.52)</f>
        <v>67.52</v>
      </c>
      <c r="E96" s="1">
        <f>IFERROR(__xludf.DUMMYFUNCTION("""COMPUTED_VALUE"""),68.24)</f>
        <v>68.24</v>
      </c>
      <c r="F96" s="1">
        <f>IFERROR(__xludf.DUMMYFUNCTION("""COMPUTED_VALUE"""),2.0053651E7)</f>
        <v>20053651</v>
      </c>
    </row>
    <row r="97">
      <c r="A97" s="2">
        <f>IFERROR(__xludf.DUMMYFUNCTION("""COMPUTED_VALUE"""),45433.58333333333)</f>
        <v>45433.58333</v>
      </c>
      <c r="B97" s="1">
        <f>IFERROR(__xludf.DUMMYFUNCTION("""COMPUTED_VALUE"""),67.6)</f>
        <v>67.6</v>
      </c>
      <c r="C97" s="1">
        <f>IFERROR(__xludf.DUMMYFUNCTION("""COMPUTED_VALUE"""),67.88)</f>
        <v>67.88</v>
      </c>
      <c r="D97" s="1">
        <f>IFERROR(__xludf.DUMMYFUNCTION("""COMPUTED_VALUE"""),66.61)</f>
        <v>66.61</v>
      </c>
      <c r="E97" s="1">
        <f>IFERROR(__xludf.DUMMYFUNCTION("""COMPUTED_VALUE"""),66.96)</f>
        <v>66.96</v>
      </c>
      <c r="F97" s="1">
        <f>IFERROR(__xludf.DUMMYFUNCTION("""COMPUTED_VALUE"""),1.1037944E7)</f>
        <v>11037944</v>
      </c>
    </row>
    <row r="98">
      <c r="A98" s="2">
        <f>IFERROR(__xludf.DUMMYFUNCTION("""COMPUTED_VALUE"""),45434.58333333333)</f>
        <v>45434.58333</v>
      </c>
      <c r="B98" s="1">
        <f>IFERROR(__xludf.DUMMYFUNCTION("""COMPUTED_VALUE"""),66.78)</f>
        <v>66.78</v>
      </c>
      <c r="C98" s="1">
        <f>IFERROR(__xludf.DUMMYFUNCTION("""COMPUTED_VALUE"""),66.91)</f>
        <v>66.91</v>
      </c>
      <c r="D98" s="1">
        <f>IFERROR(__xludf.DUMMYFUNCTION("""COMPUTED_VALUE"""),65.26)</f>
        <v>65.26</v>
      </c>
      <c r="E98" s="1">
        <f>IFERROR(__xludf.DUMMYFUNCTION("""COMPUTED_VALUE"""),66.65)</f>
        <v>66.65</v>
      </c>
      <c r="F98" s="1">
        <f>IFERROR(__xludf.DUMMYFUNCTION("""COMPUTED_VALUE"""),2.0095554E7)</f>
        <v>20095554</v>
      </c>
    </row>
    <row r="99">
      <c r="A99" s="2">
        <f>IFERROR(__xludf.DUMMYFUNCTION("""COMPUTED_VALUE"""),45435.58333333333)</f>
        <v>45435.58333</v>
      </c>
      <c r="B99" s="1">
        <f>IFERROR(__xludf.DUMMYFUNCTION("""COMPUTED_VALUE"""),66.36)</f>
        <v>66.36</v>
      </c>
      <c r="C99" s="1">
        <f>IFERROR(__xludf.DUMMYFUNCTION("""COMPUTED_VALUE"""),67.24)</f>
        <v>67.24</v>
      </c>
      <c r="D99" s="1">
        <f>IFERROR(__xludf.DUMMYFUNCTION("""COMPUTED_VALUE"""),65.99)</f>
        <v>65.99</v>
      </c>
      <c r="E99" s="1">
        <f>IFERROR(__xludf.DUMMYFUNCTION("""COMPUTED_VALUE"""),66.42)</f>
        <v>66.42</v>
      </c>
      <c r="F99" s="1">
        <f>IFERROR(__xludf.DUMMYFUNCTION("""COMPUTED_VALUE"""),9669740.0)</f>
        <v>9669740</v>
      </c>
    </row>
    <row r="100">
      <c r="A100" s="2">
        <f>IFERROR(__xludf.DUMMYFUNCTION("""COMPUTED_VALUE"""),45436.58333333333)</f>
        <v>45436.58333</v>
      </c>
      <c r="B100" s="1">
        <f>IFERROR(__xludf.DUMMYFUNCTION("""COMPUTED_VALUE"""),66.01)</f>
        <v>66.01</v>
      </c>
      <c r="C100" s="1">
        <f>IFERROR(__xludf.DUMMYFUNCTION("""COMPUTED_VALUE"""),66.01)</f>
        <v>66.01</v>
      </c>
      <c r="D100" s="1">
        <f>IFERROR(__xludf.DUMMYFUNCTION("""COMPUTED_VALUE"""),63.85)</f>
        <v>63.85</v>
      </c>
      <c r="E100" s="1">
        <f>IFERROR(__xludf.DUMMYFUNCTION("""COMPUTED_VALUE"""),65.2)</f>
        <v>65.2</v>
      </c>
      <c r="F100" s="1">
        <f>IFERROR(__xludf.DUMMYFUNCTION("""COMPUTED_VALUE"""),1.5953814E7)</f>
        <v>15953814</v>
      </c>
    </row>
    <row r="101">
      <c r="A101" s="2">
        <f>IFERROR(__xludf.DUMMYFUNCTION("""COMPUTED_VALUE"""),45439.58333333333)</f>
        <v>45439.58333</v>
      </c>
      <c r="B101" s="1">
        <f>IFERROR(__xludf.DUMMYFUNCTION("""COMPUTED_VALUE"""),65.23)</f>
        <v>65.23</v>
      </c>
      <c r="C101" s="1">
        <f>IFERROR(__xludf.DUMMYFUNCTION("""COMPUTED_VALUE"""),65.23)</f>
        <v>65.23</v>
      </c>
      <c r="D101" s="1">
        <f>IFERROR(__xludf.DUMMYFUNCTION("""COMPUTED_VALUE"""),64.91)</f>
        <v>64.91</v>
      </c>
      <c r="E101" s="1">
        <f>IFERROR(__xludf.DUMMYFUNCTION("""COMPUTED_VALUE"""),65.02)</f>
        <v>65.02</v>
      </c>
      <c r="F101" s="1">
        <f>IFERROR(__xludf.DUMMYFUNCTION("""COMPUTED_VALUE"""),1062384.0)</f>
        <v>1062384</v>
      </c>
    </row>
    <row r="102">
      <c r="A102" s="2">
        <f>IFERROR(__xludf.DUMMYFUNCTION("""COMPUTED_VALUE"""),45440.58333333333)</f>
        <v>45440.58333</v>
      </c>
      <c r="B102" s="1">
        <f>IFERROR(__xludf.DUMMYFUNCTION("""COMPUTED_VALUE"""),65.0)</f>
        <v>65</v>
      </c>
      <c r="C102" s="1">
        <f>IFERROR(__xludf.DUMMYFUNCTION("""COMPUTED_VALUE"""),65.5)</f>
        <v>65.5</v>
      </c>
      <c r="D102" s="1">
        <f>IFERROR(__xludf.DUMMYFUNCTION("""COMPUTED_VALUE"""),64.06)</f>
        <v>64.06</v>
      </c>
      <c r="E102" s="1">
        <f>IFERROR(__xludf.DUMMYFUNCTION("""COMPUTED_VALUE"""),64.45)</f>
        <v>64.45</v>
      </c>
      <c r="F102" s="1">
        <f>IFERROR(__xludf.DUMMYFUNCTION("""COMPUTED_VALUE"""),1.525576E7)</f>
        <v>15255760</v>
      </c>
    </row>
    <row r="103">
      <c r="A103" s="2">
        <f>IFERROR(__xludf.DUMMYFUNCTION("""COMPUTED_VALUE"""),45441.58333333333)</f>
        <v>45441.58333</v>
      </c>
      <c r="B103" s="1">
        <f>IFERROR(__xludf.DUMMYFUNCTION("""COMPUTED_VALUE"""),64.79)</f>
        <v>64.79</v>
      </c>
      <c r="C103" s="1">
        <f>IFERROR(__xludf.DUMMYFUNCTION("""COMPUTED_VALUE"""),64.79)</f>
        <v>64.79</v>
      </c>
      <c r="D103" s="1">
        <f>IFERROR(__xludf.DUMMYFUNCTION("""COMPUTED_VALUE"""),63.41)</f>
        <v>63.41</v>
      </c>
      <c r="E103" s="1">
        <f>IFERROR(__xludf.DUMMYFUNCTION("""COMPUTED_VALUE"""),63.82)</f>
        <v>63.82</v>
      </c>
      <c r="F103" s="1">
        <f>IFERROR(__xludf.DUMMYFUNCTION("""COMPUTED_VALUE"""),2.0600557E7)</f>
        <v>20600557</v>
      </c>
    </row>
    <row r="104">
      <c r="A104" s="2">
        <f>IFERROR(__xludf.DUMMYFUNCTION("""COMPUTED_VALUE"""),45442.58333333333)</f>
        <v>45442.58333</v>
      </c>
      <c r="B104" s="1">
        <f>IFERROR(__xludf.DUMMYFUNCTION("""COMPUTED_VALUE"""),63.65)</f>
        <v>63.65</v>
      </c>
      <c r="C104" s="1">
        <f>IFERROR(__xludf.DUMMYFUNCTION("""COMPUTED_VALUE"""),64.18)</f>
        <v>64.18</v>
      </c>
      <c r="D104" s="1">
        <f>IFERROR(__xludf.DUMMYFUNCTION("""COMPUTED_VALUE"""),63.5)</f>
        <v>63.5</v>
      </c>
      <c r="E104" s="1">
        <f>IFERROR(__xludf.DUMMYFUNCTION("""COMPUTED_VALUE"""),63.59)</f>
        <v>63.59</v>
      </c>
      <c r="F104" s="1">
        <f>IFERROR(__xludf.DUMMYFUNCTION("""COMPUTED_VALUE"""),2.7543971E7)</f>
        <v>27543971</v>
      </c>
    </row>
    <row r="105">
      <c r="A105" s="2">
        <f>IFERROR(__xludf.DUMMYFUNCTION("""COMPUTED_VALUE"""),45443.58333333333)</f>
        <v>45443.58333</v>
      </c>
      <c r="B105" s="1">
        <f>IFERROR(__xludf.DUMMYFUNCTION("""COMPUTED_VALUE"""),63.32)</f>
        <v>63.32</v>
      </c>
      <c r="C105" s="1">
        <f>IFERROR(__xludf.DUMMYFUNCTION("""COMPUTED_VALUE"""),64.64)</f>
        <v>64.64</v>
      </c>
      <c r="D105" s="1">
        <f>IFERROR(__xludf.DUMMYFUNCTION("""COMPUTED_VALUE"""),63.11)</f>
        <v>63.11</v>
      </c>
      <c r="E105" s="1">
        <f>IFERROR(__xludf.DUMMYFUNCTION("""COMPUTED_VALUE"""),63.75)</f>
        <v>63.75</v>
      </c>
      <c r="F105" s="1">
        <f>IFERROR(__xludf.DUMMYFUNCTION("""COMPUTED_VALUE"""),5.0215927E7)</f>
        <v>50215927</v>
      </c>
    </row>
    <row r="106">
      <c r="A106" s="2">
        <f>IFERROR(__xludf.DUMMYFUNCTION("""COMPUTED_VALUE"""),45446.58333333333)</f>
        <v>45446.58333</v>
      </c>
      <c r="B106" s="1">
        <f>IFERROR(__xludf.DUMMYFUNCTION("""COMPUTED_VALUE"""),63.31)</f>
        <v>63.31</v>
      </c>
      <c r="C106" s="1">
        <f>IFERROR(__xludf.DUMMYFUNCTION("""COMPUTED_VALUE"""),63.99)</f>
        <v>63.99</v>
      </c>
      <c r="D106" s="1">
        <f>IFERROR(__xludf.DUMMYFUNCTION("""COMPUTED_VALUE"""),59.36)</f>
        <v>59.36</v>
      </c>
      <c r="E106" s="1">
        <f>IFERROR(__xludf.DUMMYFUNCTION("""COMPUTED_VALUE"""),60.07)</f>
        <v>60.07</v>
      </c>
      <c r="F106" s="1">
        <f>IFERROR(__xludf.DUMMYFUNCTION("""COMPUTED_VALUE"""),2.2504112E7)</f>
        <v>22504112</v>
      </c>
    </row>
    <row r="107">
      <c r="A107" s="2">
        <f>IFERROR(__xludf.DUMMYFUNCTION("""COMPUTED_VALUE"""),45447.58333333333)</f>
        <v>45447.58333</v>
      </c>
      <c r="B107" s="1">
        <f>IFERROR(__xludf.DUMMYFUNCTION("""COMPUTED_VALUE"""),60.38)</f>
        <v>60.38</v>
      </c>
      <c r="C107" s="1">
        <f>IFERROR(__xludf.DUMMYFUNCTION("""COMPUTED_VALUE"""),62.39)</f>
        <v>62.39</v>
      </c>
      <c r="D107" s="1">
        <f>IFERROR(__xludf.DUMMYFUNCTION("""COMPUTED_VALUE"""),60.26)</f>
        <v>60.26</v>
      </c>
      <c r="E107" s="1">
        <f>IFERROR(__xludf.DUMMYFUNCTION("""COMPUTED_VALUE"""),61.52)</f>
        <v>61.52</v>
      </c>
      <c r="F107" s="1">
        <f>IFERROR(__xludf.DUMMYFUNCTION("""COMPUTED_VALUE"""),2.8612957E7)</f>
        <v>28612957</v>
      </c>
    </row>
    <row r="108">
      <c r="A108" s="2">
        <f>IFERROR(__xludf.DUMMYFUNCTION("""COMPUTED_VALUE"""),45448.58333333333)</f>
        <v>45448.58333</v>
      </c>
      <c r="B108" s="1">
        <f>IFERROR(__xludf.DUMMYFUNCTION("""COMPUTED_VALUE"""),61.55)</f>
        <v>61.55</v>
      </c>
      <c r="C108" s="1">
        <f>IFERROR(__xludf.DUMMYFUNCTION("""COMPUTED_VALUE"""),63.27)</f>
        <v>63.27</v>
      </c>
      <c r="D108" s="1">
        <f>IFERROR(__xludf.DUMMYFUNCTION("""COMPUTED_VALUE"""),61.06)</f>
        <v>61.06</v>
      </c>
      <c r="E108" s="1">
        <f>IFERROR(__xludf.DUMMYFUNCTION("""COMPUTED_VALUE"""),62.75)</f>
        <v>62.75</v>
      </c>
      <c r="F108" s="1">
        <f>IFERROR(__xludf.DUMMYFUNCTION("""COMPUTED_VALUE"""),2.8782822E7)</f>
        <v>28782822</v>
      </c>
    </row>
    <row r="109">
      <c r="A109" s="2">
        <f>IFERROR(__xludf.DUMMYFUNCTION("""COMPUTED_VALUE"""),45449.58333333333)</f>
        <v>45449.58333</v>
      </c>
      <c r="B109" s="1">
        <f>IFERROR(__xludf.DUMMYFUNCTION("""COMPUTED_VALUE"""),62.69)</f>
        <v>62.69</v>
      </c>
      <c r="C109" s="1">
        <f>IFERROR(__xludf.DUMMYFUNCTION("""COMPUTED_VALUE"""),64.19)</f>
        <v>64.19</v>
      </c>
      <c r="D109" s="1">
        <f>IFERROR(__xludf.DUMMYFUNCTION("""COMPUTED_VALUE"""),62.6)</f>
        <v>62.6</v>
      </c>
      <c r="E109" s="1">
        <f>IFERROR(__xludf.DUMMYFUNCTION("""COMPUTED_VALUE"""),63.41)</f>
        <v>63.41</v>
      </c>
      <c r="F109" s="1">
        <f>IFERROR(__xludf.DUMMYFUNCTION("""COMPUTED_VALUE"""),2.4721251E7)</f>
        <v>24721251</v>
      </c>
    </row>
    <row r="110">
      <c r="A110" s="2">
        <f>IFERROR(__xludf.DUMMYFUNCTION("""COMPUTED_VALUE"""),45450.58333333333)</f>
        <v>45450.58333</v>
      </c>
      <c r="B110" s="1">
        <f>IFERROR(__xludf.DUMMYFUNCTION("""COMPUTED_VALUE"""),63.55)</f>
        <v>63.55</v>
      </c>
      <c r="C110" s="1">
        <f>IFERROR(__xludf.DUMMYFUNCTION("""COMPUTED_VALUE"""),64.0)</f>
        <v>64</v>
      </c>
      <c r="D110" s="1">
        <f>IFERROR(__xludf.DUMMYFUNCTION("""COMPUTED_VALUE"""),61.82)</f>
        <v>61.82</v>
      </c>
      <c r="E110" s="1">
        <f>IFERROR(__xludf.DUMMYFUNCTION("""COMPUTED_VALUE"""),62.39)</f>
        <v>62.39</v>
      </c>
      <c r="F110" s="1">
        <f>IFERROR(__xludf.DUMMYFUNCTION("""COMPUTED_VALUE"""),2.9365721E7)</f>
        <v>29365721</v>
      </c>
    </row>
    <row r="111">
      <c r="A111" s="2">
        <f>IFERROR(__xludf.DUMMYFUNCTION("""COMPUTED_VALUE"""),45453.58333333333)</f>
        <v>45453.58333</v>
      </c>
      <c r="B111" s="1">
        <f>IFERROR(__xludf.DUMMYFUNCTION("""COMPUTED_VALUE"""),62.55)</f>
        <v>62.55</v>
      </c>
      <c r="C111" s="1">
        <f>IFERROR(__xludf.DUMMYFUNCTION("""COMPUTED_VALUE"""),62.76)</f>
        <v>62.76</v>
      </c>
      <c r="D111" s="1">
        <f>IFERROR(__xludf.DUMMYFUNCTION("""COMPUTED_VALUE"""),61.94)</f>
        <v>61.94</v>
      </c>
      <c r="E111" s="1">
        <f>IFERROR(__xludf.DUMMYFUNCTION("""COMPUTED_VALUE"""),62.46)</f>
        <v>62.46</v>
      </c>
      <c r="F111" s="1">
        <f>IFERROR(__xludf.DUMMYFUNCTION("""COMPUTED_VALUE"""),1.7294833E7)</f>
        <v>17294833</v>
      </c>
    </row>
    <row r="112">
      <c r="A112" s="2">
        <f>IFERROR(__xludf.DUMMYFUNCTION("""COMPUTED_VALUE"""),45454.58333333333)</f>
        <v>45454.58333</v>
      </c>
      <c r="B112" s="1">
        <f>IFERROR(__xludf.DUMMYFUNCTION("""COMPUTED_VALUE"""),62.5)</f>
        <v>62.5</v>
      </c>
      <c r="C112" s="1">
        <f>IFERROR(__xludf.DUMMYFUNCTION("""COMPUTED_VALUE"""),62.98)</f>
        <v>62.98</v>
      </c>
      <c r="D112" s="1">
        <f>IFERROR(__xludf.DUMMYFUNCTION("""COMPUTED_VALUE"""),61.77)</f>
        <v>61.77</v>
      </c>
      <c r="E112" s="1">
        <f>IFERROR(__xludf.DUMMYFUNCTION("""COMPUTED_VALUE"""),62.19)</f>
        <v>62.19</v>
      </c>
      <c r="F112" s="1">
        <f>IFERROR(__xludf.DUMMYFUNCTION("""COMPUTED_VALUE"""),4.1540942E7)</f>
        <v>41540942</v>
      </c>
    </row>
    <row r="113">
      <c r="A113" s="2">
        <f>IFERROR(__xludf.DUMMYFUNCTION("""COMPUTED_VALUE"""),45455.58333333333)</f>
        <v>45455.58333</v>
      </c>
      <c r="B113" s="1">
        <f>IFERROR(__xludf.DUMMYFUNCTION("""COMPUTED_VALUE"""),62.22)</f>
        <v>62.22</v>
      </c>
      <c r="C113" s="1">
        <f>IFERROR(__xludf.DUMMYFUNCTION("""COMPUTED_VALUE"""),62.89)</f>
        <v>62.89</v>
      </c>
      <c r="D113" s="1">
        <f>IFERROR(__xludf.DUMMYFUNCTION("""COMPUTED_VALUE"""),60.84)</f>
        <v>60.84</v>
      </c>
      <c r="E113" s="1">
        <f>IFERROR(__xludf.DUMMYFUNCTION("""COMPUTED_VALUE"""),61.0)</f>
        <v>61</v>
      </c>
      <c r="F113" s="1">
        <f>IFERROR(__xludf.DUMMYFUNCTION("""COMPUTED_VALUE"""),2.706599E7)</f>
        <v>27065990</v>
      </c>
    </row>
    <row r="114">
      <c r="A114" s="2">
        <f>IFERROR(__xludf.DUMMYFUNCTION("""COMPUTED_VALUE"""),45456.58333333333)</f>
        <v>45456.58333</v>
      </c>
      <c r="B114" s="1">
        <f>IFERROR(__xludf.DUMMYFUNCTION("""COMPUTED_VALUE"""),61.14)</f>
        <v>61.14</v>
      </c>
      <c r="C114" s="1">
        <f>IFERROR(__xludf.DUMMYFUNCTION("""COMPUTED_VALUE"""),62.1)</f>
        <v>62.1</v>
      </c>
      <c r="D114" s="1">
        <f>IFERROR(__xludf.DUMMYFUNCTION("""COMPUTED_VALUE"""),60.64)</f>
        <v>60.64</v>
      </c>
      <c r="E114" s="1">
        <f>IFERROR(__xludf.DUMMYFUNCTION("""COMPUTED_VALUE"""),60.96)</f>
        <v>60.96</v>
      </c>
      <c r="F114" s="1">
        <f>IFERROR(__xludf.DUMMYFUNCTION("""COMPUTED_VALUE"""),2.5631348E7)</f>
        <v>25631348</v>
      </c>
    </row>
    <row r="115">
      <c r="A115" s="2">
        <f>IFERROR(__xludf.DUMMYFUNCTION("""COMPUTED_VALUE"""),45457.58333333333)</f>
        <v>45457.58333</v>
      </c>
      <c r="B115" s="1">
        <f>IFERROR(__xludf.DUMMYFUNCTION("""COMPUTED_VALUE"""),60.97)</f>
        <v>60.97</v>
      </c>
      <c r="C115" s="1">
        <f>IFERROR(__xludf.DUMMYFUNCTION("""COMPUTED_VALUE"""),61.2)</f>
        <v>61.2</v>
      </c>
      <c r="D115" s="1">
        <f>IFERROR(__xludf.DUMMYFUNCTION("""COMPUTED_VALUE"""),59.44)</f>
        <v>59.44</v>
      </c>
      <c r="E115" s="1">
        <f>IFERROR(__xludf.DUMMYFUNCTION("""COMPUTED_VALUE"""),60.78)</f>
        <v>60.78</v>
      </c>
      <c r="F115" s="1">
        <f>IFERROR(__xludf.DUMMYFUNCTION("""COMPUTED_VALUE"""),2.4382094E7)</f>
        <v>24382094</v>
      </c>
    </row>
    <row r="116">
      <c r="A116" s="2">
        <f>IFERROR(__xludf.DUMMYFUNCTION("""COMPUTED_VALUE"""),45460.58333333333)</f>
        <v>45460.58333</v>
      </c>
      <c r="B116" s="1">
        <f>IFERROR(__xludf.DUMMYFUNCTION("""COMPUTED_VALUE"""),60.89)</f>
        <v>60.89</v>
      </c>
      <c r="C116" s="1">
        <f>IFERROR(__xludf.DUMMYFUNCTION("""COMPUTED_VALUE"""),61.38)</f>
        <v>61.38</v>
      </c>
      <c r="D116" s="1">
        <f>IFERROR(__xludf.DUMMYFUNCTION("""COMPUTED_VALUE"""),59.81)</f>
        <v>59.81</v>
      </c>
      <c r="E116" s="1">
        <f>IFERROR(__xludf.DUMMYFUNCTION("""COMPUTED_VALUE"""),61.26)</f>
        <v>61.26</v>
      </c>
      <c r="F116" s="1">
        <f>IFERROR(__xludf.DUMMYFUNCTION("""COMPUTED_VALUE"""),2.1096626E7)</f>
        <v>21096626</v>
      </c>
    </row>
    <row r="117">
      <c r="A117" s="2">
        <f>IFERROR(__xludf.DUMMYFUNCTION("""COMPUTED_VALUE"""),45461.58333333333)</f>
        <v>45461.58333</v>
      </c>
      <c r="B117" s="1">
        <f>IFERROR(__xludf.DUMMYFUNCTION("""COMPUTED_VALUE"""),60.76)</f>
        <v>60.76</v>
      </c>
      <c r="C117" s="1">
        <f>IFERROR(__xludf.DUMMYFUNCTION("""COMPUTED_VALUE"""),62.64)</f>
        <v>62.64</v>
      </c>
      <c r="D117" s="1">
        <f>IFERROR(__xludf.DUMMYFUNCTION("""COMPUTED_VALUE"""),60.71)</f>
        <v>60.71</v>
      </c>
      <c r="E117" s="1">
        <f>IFERROR(__xludf.DUMMYFUNCTION("""COMPUTED_VALUE"""),62.25)</f>
        <v>62.25</v>
      </c>
      <c r="F117" s="1">
        <f>IFERROR(__xludf.DUMMYFUNCTION("""COMPUTED_VALUE"""),1.853701E7)</f>
        <v>18537010</v>
      </c>
    </row>
    <row r="118">
      <c r="A118" s="2">
        <f>IFERROR(__xludf.DUMMYFUNCTION("""COMPUTED_VALUE"""),45462.58333333333)</f>
        <v>45462.58333</v>
      </c>
      <c r="B118" s="1">
        <f>IFERROR(__xludf.DUMMYFUNCTION("""COMPUTED_VALUE"""),62.23)</f>
        <v>62.23</v>
      </c>
      <c r="C118" s="1">
        <f>IFERROR(__xludf.DUMMYFUNCTION("""COMPUTED_VALUE"""),62.59)</f>
        <v>62.59</v>
      </c>
      <c r="D118" s="1">
        <f>IFERROR(__xludf.DUMMYFUNCTION("""COMPUTED_VALUE"""),61.99)</f>
        <v>61.99</v>
      </c>
      <c r="E118" s="1">
        <f>IFERROR(__xludf.DUMMYFUNCTION("""COMPUTED_VALUE"""),62.58)</f>
        <v>62.58</v>
      </c>
      <c r="F118" s="1">
        <f>IFERROR(__xludf.DUMMYFUNCTION("""COMPUTED_VALUE"""),2504849.0)</f>
        <v>2504849</v>
      </c>
    </row>
    <row r="119">
      <c r="A119" s="2">
        <f>IFERROR(__xludf.DUMMYFUNCTION("""COMPUTED_VALUE"""),45463.58333333333)</f>
        <v>45463.58333</v>
      </c>
      <c r="B119" s="1">
        <f>IFERROR(__xludf.DUMMYFUNCTION("""COMPUTED_VALUE"""),62.3)</f>
        <v>62.3</v>
      </c>
      <c r="C119" s="1">
        <f>IFERROR(__xludf.DUMMYFUNCTION("""COMPUTED_VALUE"""),62.54)</f>
        <v>62.54</v>
      </c>
      <c r="D119" s="1">
        <f>IFERROR(__xludf.DUMMYFUNCTION("""COMPUTED_VALUE"""),61.35)</f>
        <v>61.35</v>
      </c>
      <c r="E119" s="1">
        <f>IFERROR(__xludf.DUMMYFUNCTION("""COMPUTED_VALUE"""),62.31)</f>
        <v>62.31</v>
      </c>
      <c r="F119" s="1">
        <f>IFERROR(__xludf.DUMMYFUNCTION("""COMPUTED_VALUE"""),1.7612571E7)</f>
        <v>17612571</v>
      </c>
    </row>
    <row r="120">
      <c r="A120" s="2">
        <f>IFERROR(__xludf.DUMMYFUNCTION("""COMPUTED_VALUE"""),45464.58333333333)</f>
        <v>45464.58333</v>
      </c>
      <c r="B120" s="1">
        <f>IFERROR(__xludf.DUMMYFUNCTION("""COMPUTED_VALUE"""),62.28)</f>
        <v>62.28</v>
      </c>
      <c r="C120" s="1">
        <f>IFERROR(__xludf.DUMMYFUNCTION("""COMPUTED_VALUE"""),62.84)</f>
        <v>62.84</v>
      </c>
      <c r="D120" s="1">
        <f>IFERROR(__xludf.DUMMYFUNCTION("""COMPUTED_VALUE"""),61.46)</f>
        <v>61.46</v>
      </c>
      <c r="E120" s="1">
        <f>IFERROR(__xludf.DUMMYFUNCTION("""COMPUTED_VALUE"""),62.07)</f>
        <v>62.07</v>
      </c>
      <c r="F120" s="1">
        <f>IFERROR(__xludf.DUMMYFUNCTION("""COMPUTED_VALUE"""),8.2513975E7)</f>
        <v>82513975</v>
      </c>
    </row>
    <row r="121">
      <c r="A121" s="2">
        <f>IFERROR(__xludf.DUMMYFUNCTION("""COMPUTED_VALUE"""),45467.58333333333)</f>
        <v>45467.58333</v>
      </c>
      <c r="B121" s="1">
        <f>IFERROR(__xludf.DUMMYFUNCTION("""COMPUTED_VALUE"""),61.53)</f>
        <v>61.53</v>
      </c>
      <c r="C121" s="1">
        <f>IFERROR(__xludf.DUMMYFUNCTION("""COMPUTED_VALUE"""),62.4)</f>
        <v>62.4</v>
      </c>
      <c r="D121" s="1">
        <f>IFERROR(__xludf.DUMMYFUNCTION("""COMPUTED_VALUE"""),60.35)</f>
        <v>60.35</v>
      </c>
      <c r="E121" s="1">
        <f>IFERROR(__xludf.DUMMYFUNCTION("""COMPUTED_VALUE"""),60.66)</f>
        <v>60.66</v>
      </c>
      <c r="F121" s="1">
        <f>IFERROR(__xludf.DUMMYFUNCTION("""COMPUTED_VALUE"""),1.461281E7)</f>
        <v>14612810</v>
      </c>
    </row>
    <row r="122">
      <c r="A122" s="2">
        <f>IFERROR(__xludf.DUMMYFUNCTION("""COMPUTED_VALUE"""),45468.58333333333)</f>
        <v>45468.58333</v>
      </c>
      <c r="B122" s="1">
        <f>IFERROR(__xludf.DUMMYFUNCTION("""COMPUTED_VALUE"""),60.72)</f>
        <v>60.72</v>
      </c>
      <c r="C122" s="1">
        <f>IFERROR(__xludf.DUMMYFUNCTION("""COMPUTED_VALUE"""),62.83)</f>
        <v>62.83</v>
      </c>
      <c r="D122" s="1">
        <f>IFERROR(__xludf.DUMMYFUNCTION("""COMPUTED_VALUE"""),60.11)</f>
        <v>60.11</v>
      </c>
      <c r="E122" s="1">
        <f>IFERROR(__xludf.DUMMYFUNCTION("""COMPUTED_VALUE"""),62.83)</f>
        <v>62.83</v>
      </c>
      <c r="F122" s="1">
        <f>IFERROR(__xludf.DUMMYFUNCTION("""COMPUTED_VALUE"""),2.6989682E7)</f>
        <v>26989682</v>
      </c>
    </row>
    <row r="123">
      <c r="A123" s="2">
        <f>IFERROR(__xludf.DUMMYFUNCTION("""COMPUTED_VALUE"""),45469.58333333333)</f>
        <v>45469.58333</v>
      </c>
      <c r="B123" s="1">
        <f>IFERROR(__xludf.DUMMYFUNCTION("""COMPUTED_VALUE"""),62.3)</f>
        <v>62.3</v>
      </c>
      <c r="C123" s="1">
        <f>IFERROR(__xludf.DUMMYFUNCTION("""COMPUTED_VALUE"""),62.78)</f>
        <v>62.78</v>
      </c>
      <c r="D123" s="1">
        <f>IFERROR(__xludf.DUMMYFUNCTION("""COMPUTED_VALUE"""),61.12)</f>
        <v>61.12</v>
      </c>
      <c r="E123" s="1">
        <f>IFERROR(__xludf.DUMMYFUNCTION("""COMPUTED_VALUE"""),62.09)</f>
        <v>62.09</v>
      </c>
      <c r="F123" s="1">
        <f>IFERROR(__xludf.DUMMYFUNCTION("""COMPUTED_VALUE"""),2.9297781E7)</f>
        <v>29297781</v>
      </c>
    </row>
    <row r="124">
      <c r="A124" s="2">
        <f>IFERROR(__xludf.DUMMYFUNCTION("""COMPUTED_VALUE"""),45470.58333333333)</f>
        <v>45470.58333</v>
      </c>
      <c r="B124" s="1">
        <f>IFERROR(__xludf.DUMMYFUNCTION("""COMPUTED_VALUE"""),61.99)</f>
        <v>61.99</v>
      </c>
      <c r="C124" s="1">
        <f>IFERROR(__xludf.DUMMYFUNCTION("""COMPUTED_VALUE"""),62.25)</f>
        <v>62.25</v>
      </c>
      <c r="D124" s="1">
        <f>IFERROR(__xludf.DUMMYFUNCTION("""COMPUTED_VALUE"""),61.5)</f>
        <v>61.5</v>
      </c>
      <c r="E124" s="1">
        <f>IFERROR(__xludf.DUMMYFUNCTION("""COMPUTED_VALUE"""),62.05)</f>
        <v>62.05</v>
      </c>
      <c r="F124" s="1">
        <f>IFERROR(__xludf.DUMMYFUNCTION("""COMPUTED_VALUE"""),2.4832393E7)</f>
        <v>24832393</v>
      </c>
    </row>
    <row r="125">
      <c r="A125" s="2">
        <f>IFERROR(__xludf.DUMMYFUNCTION("""COMPUTED_VALUE"""),45471.58333333333)</f>
        <v>45471.58333</v>
      </c>
      <c r="B125" s="1">
        <f>IFERROR(__xludf.DUMMYFUNCTION("""COMPUTED_VALUE"""),62.48)</f>
        <v>62.48</v>
      </c>
      <c r="C125" s="1">
        <f>IFERROR(__xludf.DUMMYFUNCTION("""COMPUTED_VALUE"""),62.94)</f>
        <v>62.94</v>
      </c>
      <c r="D125" s="1">
        <f>IFERROR(__xludf.DUMMYFUNCTION("""COMPUTED_VALUE"""),61.88)</f>
        <v>61.88</v>
      </c>
      <c r="E125" s="1">
        <f>IFERROR(__xludf.DUMMYFUNCTION("""COMPUTED_VALUE"""),62.49)</f>
        <v>62.49</v>
      </c>
      <c r="F125" s="1">
        <f>IFERROR(__xludf.DUMMYFUNCTION("""COMPUTED_VALUE"""),1.647369E7)</f>
        <v>16473690</v>
      </c>
    </row>
    <row r="126">
      <c r="A126" s="2">
        <f>IFERROR(__xludf.DUMMYFUNCTION("""COMPUTED_VALUE"""),45474.58333333333)</f>
        <v>45474.58333</v>
      </c>
      <c r="B126" s="1">
        <f>IFERROR(__xludf.DUMMYFUNCTION("""COMPUTED_VALUE"""),62.49)</f>
        <v>62.49</v>
      </c>
      <c r="C126" s="1">
        <f>IFERROR(__xludf.DUMMYFUNCTION("""COMPUTED_VALUE"""),62.89)</f>
        <v>62.89</v>
      </c>
      <c r="D126" s="1">
        <f>IFERROR(__xludf.DUMMYFUNCTION("""COMPUTED_VALUE"""),62.02)</f>
        <v>62.02</v>
      </c>
      <c r="E126" s="1">
        <f>IFERROR(__xludf.DUMMYFUNCTION("""COMPUTED_VALUE"""),62.73)</f>
        <v>62.73</v>
      </c>
      <c r="F126" s="1">
        <f>IFERROR(__xludf.DUMMYFUNCTION("""COMPUTED_VALUE"""),2.4792669E7)</f>
        <v>24792669</v>
      </c>
    </row>
    <row r="127">
      <c r="A127" s="2">
        <f>IFERROR(__xludf.DUMMYFUNCTION("""COMPUTED_VALUE"""),45475.58333333333)</f>
        <v>45475.58333</v>
      </c>
      <c r="B127" s="1">
        <f>IFERROR(__xludf.DUMMYFUNCTION("""COMPUTED_VALUE"""),62.31)</f>
        <v>62.31</v>
      </c>
      <c r="C127" s="1">
        <f>IFERROR(__xludf.DUMMYFUNCTION("""COMPUTED_VALUE"""),62.84)</f>
        <v>62.84</v>
      </c>
      <c r="D127" s="1">
        <f>IFERROR(__xludf.DUMMYFUNCTION("""COMPUTED_VALUE"""),60.8)</f>
        <v>60.8</v>
      </c>
      <c r="E127" s="1">
        <f>IFERROR(__xludf.DUMMYFUNCTION("""COMPUTED_VALUE"""),61.7)</f>
        <v>61.7</v>
      </c>
      <c r="F127" s="1">
        <f>IFERROR(__xludf.DUMMYFUNCTION("""COMPUTED_VALUE"""),1.6290611E7)</f>
        <v>16290611</v>
      </c>
    </row>
    <row r="128">
      <c r="A128" s="2">
        <f>IFERROR(__xludf.DUMMYFUNCTION("""COMPUTED_VALUE"""),45476.58333333333)</f>
        <v>45476.58333</v>
      </c>
      <c r="B128" s="1">
        <f>IFERROR(__xludf.DUMMYFUNCTION("""COMPUTED_VALUE"""),61.7)</f>
        <v>61.7</v>
      </c>
      <c r="C128" s="1">
        <f>IFERROR(__xludf.DUMMYFUNCTION("""COMPUTED_VALUE"""),63.09)</f>
        <v>63.09</v>
      </c>
      <c r="D128" s="1">
        <f>IFERROR(__xludf.DUMMYFUNCTION("""COMPUTED_VALUE"""),61.36)</f>
        <v>61.36</v>
      </c>
      <c r="E128" s="1">
        <f>IFERROR(__xludf.DUMMYFUNCTION("""COMPUTED_VALUE"""),61.56)</f>
        <v>61.56</v>
      </c>
      <c r="F128" s="1">
        <f>IFERROR(__xludf.DUMMYFUNCTION("""COMPUTED_VALUE"""),1.1318006E7)</f>
        <v>11318006</v>
      </c>
    </row>
    <row r="129">
      <c r="A129" s="2">
        <f>IFERROR(__xludf.DUMMYFUNCTION("""COMPUTED_VALUE"""),45477.58333333333)</f>
        <v>45477.58333</v>
      </c>
      <c r="B129" s="1">
        <f>IFERROR(__xludf.DUMMYFUNCTION("""COMPUTED_VALUE"""),61.7)</f>
        <v>61.7</v>
      </c>
      <c r="C129" s="1">
        <f>IFERROR(__xludf.DUMMYFUNCTION("""COMPUTED_VALUE"""),61.7)</f>
        <v>61.7</v>
      </c>
      <c r="D129" s="1">
        <f>IFERROR(__xludf.DUMMYFUNCTION("""COMPUTED_VALUE"""),61.04)</f>
        <v>61.04</v>
      </c>
      <c r="E129" s="1">
        <f>IFERROR(__xludf.DUMMYFUNCTION("""COMPUTED_VALUE"""),61.55)</f>
        <v>61.55</v>
      </c>
      <c r="F129" s="1">
        <f>IFERROR(__xludf.DUMMYFUNCTION("""COMPUTED_VALUE"""),1281188.0)</f>
        <v>1281188</v>
      </c>
    </row>
    <row r="130">
      <c r="A130" s="2">
        <f>IFERROR(__xludf.DUMMYFUNCTION("""COMPUTED_VALUE"""),45478.58333333333)</f>
        <v>45478.58333</v>
      </c>
      <c r="B130" s="1">
        <f>IFERROR(__xludf.DUMMYFUNCTION("""COMPUTED_VALUE"""),61.46)</f>
        <v>61.46</v>
      </c>
      <c r="C130" s="1">
        <f>IFERROR(__xludf.DUMMYFUNCTION("""COMPUTED_VALUE"""),61.73)</f>
        <v>61.73</v>
      </c>
      <c r="D130" s="1">
        <f>IFERROR(__xludf.DUMMYFUNCTION("""COMPUTED_VALUE"""),61.12)</f>
        <v>61.12</v>
      </c>
      <c r="E130" s="1">
        <f>IFERROR(__xludf.DUMMYFUNCTION("""COMPUTED_VALUE"""),61.62)</f>
        <v>61.62</v>
      </c>
      <c r="F130" s="1">
        <f>IFERROR(__xludf.DUMMYFUNCTION("""COMPUTED_VALUE"""),1.7725263E7)</f>
        <v>17725263</v>
      </c>
    </row>
    <row r="131">
      <c r="A131" s="2">
        <f>IFERROR(__xludf.DUMMYFUNCTION("""COMPUTED_VALUE"""),45481.58333333333)</f>
        <v>45481.58333</v>
      </c>
      <c r="B131" s="1">
        <f>IFERROR(__xludf.DUMMYFUNCTION("""COMPUTED_VALUE"""),61.37)</f>
        <v>61.37</v>
      </c>
      <c r="C131" s="1">
        <f>IFERROR(__xludf.DUMMYFUNCTION("""COMPUTED_VALUE"""),62.09)</f>
        <v>62.09</v>
      </c>
      <c r="D131" s="1">
        <f>IFERROR(__xludf.DUMMYFUNCTION("""COMPUTED_VALUE"""),61.21)</f>
        <v>61.21</v>
      </c>
      <c r="E131" s="1">
        <f>IFERROR(__xludf.DUMMYFUNCTION("""COMPUTED_VALUE"""),61.83)</f>
        <v>61.83</v>
      </c>
      <c r="F131" s="1">
        <f>IFERROR(__xludf.DUMMYFUNCTION("""COMPUTED_VALUE"""),1.5076736E7)</f>
        <v>15076736</v>
      </c>
    </row>
    <row r="132">
      <c r="A132" s="2">
        <f>IFERROR(__xludf.DUMMYFUNCTION("""COMPUTED_VALUE"""),45482.58333333333)</f>
        <v>45482.58333</v>
      </c>
      <c r="B132" s="1">
        <f>IFERROR(__xludf.DUMMYFUNCTION("""COMPUTED_VALUE"""),61.61)</f>
        <v>61.61</v>
      </c>
      <c r="C132" s="1">
        <f>IFERROR(__xludf.DUMMYFUNCTION("""COMPUTED_VALUE"""),64.08)</f>
        <v>64.08</v>
      </c>
      <c r="D132" s="1">
        <f>IFERROR(__xludf.DUMMYFUNCTION("""COMPUTED_VALUE"""),61.61)</f>
        <v>61.61</v>
      </c>
      <c r="E132" s="1">
        <f>IFERROR(__xludf.DUMMYFUNCTION("""COMPUTED_VALUE"""),64.06)</f>
        <v>64.06</v>
      </c>
      <c r="F132" s="1">
        <f>IFERROR(__xludf.DUMMYFUNCTION("""COMPUTED_VALUE"""),2.4384664E7)</f>
        <v>24384664</v>
      </c>
    </row>
    <row r="133">
      <c r="A133" s="2">
        <f>IFERROR(__xludf.DUMMYFUNCTION("""COMPUTED_VALUE"""),45483.58333333333)</f>
        <v>45483.58333</v>
      </c>
      <c r="B133" s="1">
        <f>IFERROR(__xludf.DUMMYFUNCTION("""COMPUTED_VALUE"""),64.43)</f>
        <v>64.43</v>
      </c>
      <c r="C133" s="1">
        <f>IFERROR(__xludf.DUMMYFUNCTION("""COMPUTED_VALUE"""),65.01)</f>
        <v>65.01</v>
      </c>
      <c r="D133" s="1">
        <f>IFERROR(__xludf.DUMMYFUNCTION("""COMPUTED_VALUE"""),63.9)</f>
        <v>63.9</v>
      </c>
      <c r="E133" s="1">
        <f>IFERROR(__xludf.DUMMYFUNCTION("""COMPUTED_VALUE"""),64.39)</f>
        <v>64.39</v>
      </c>
      <c r="F133" s="1">
        <f>IFERROR(__xludf.DUMMYFUNCTION("""COMPUTED_VALUE"""),2.2740466E7)</f>
        <v>22740466</v>
      </c>
    </row>
    <row r="134">
      <c r="A134" s="2">
        <f>IFERROR(__xludf.DUMMYFUNCTION("""COMPUTED_VALUE"""),45484.58333333333)</f>
        <v>45484.58333</v>
      </c>
      <c r="B134" s="1">
        <f>IFERROR(__xludf.DUMMYFUNCTION("""COMPUTED_VALUE"""),64.7)</f>
        <v>64.7</v>
      </c>
      <c r="C134" s="1">
        <f>IFERROR(__xludf.DUMMYFUNCTION("""COMPUTED_VALUE"""),65.76)</f>
        <v>65.76</v>
      </c>
      <c r="D134" s="1">
        <f>IFERROR(__xludf.DUMMYFUNCTION("""COMPUTED_VALUE"""),64.01)</f>
        <v>64.01</v>
      </c>
      <c r="E134" s="1">
        <f>IFERROR(__xludf.DUMMYFUNCTION("""COMPUTED_VALUE"""),65.41)</f>
        <v>65.41</v>
      </c>
      <c r="F134" s="1">
        <f>IFERROR(__xludf.DUMMYFUNCTION("""COMPUTED_VALUE"""),1.5716862E7)</f>
        <v>15716862</v>
      </c>
    </row>
    <row r="135">
      <c r="A135" s="2">
        <f>IFERROR(__xludf.DUMMYFUNCTION("""COMPUTED_VALUE"""),45485.58333333333)</f>
        <v>45485.58333</v>
      </c>
      <c r="B135" s="1">
        <f>IFERROR(__xludf.DUMMYFUNCTION("""COMPUTED_VALUE"""),65.21)</f>
        <v>65.21</v>
      </c>
      <c r="C135" s="1">
        <f>IFERROR(__xludf.DUMMYFUNCTION("""COMPUTED_VALUE"""),68.74)</f>
        <v>68.74</v>
      </c>
      <c r="D135" s="1">
        <f>IFERROR(__xludf.DUMMYFUNCTION("""COMPUTED_VALUE"""),65.21)</f>
        <v>65.21</v>
      </c>
      <c r="E135" s="1">
        <f>IFERROR(__xludf.DUMMYFUNCTION("""COMPUTED_VALUE"""),68.03)</f>
        <v>68.03</v>
      </c>
      <c r="F135" s="1">
        <f>IFERROR(__xludf.DUMMYFUNCTION("""COMPUTED_VALUE"""),2.041278E7)</f>
        <v>20412780</v>
      </c>
    </row>
    <row r="136">
      <c r="A136" s="2">
        <f>IFERROR(__xludf.DUMMYFUNCTION("""COMPUTED_VALUE"""),45488.58333333333)</f>
        <v>45488.58333</v>
      </c>
      <c r="B136" s="1">
        <f>IFERROR(__xludf.DUMMYFUNCTION("""COMPUTED_VALUE"""),67.61)</f>
        <v>67.61</v>
      </c>
      <c r="C136" s="1">
        <f>IFERROR(__xludf.DUMMYFUNCTION("""COMPUTED_VALUE"""),68.28)</f>
        <v>68.28</v>
      </c>
      <c r="D136" s="1">
        <f>IFERROR(__xludf.DUMMYFUNCTION("""COMPUTED_VALUE"""),66.91)</f>
        <v>66.91</v>
      </c>
      <c r="E136" s="1">
        <f>IFERROR(__xludf.DUMMYFUNCTION("""COMPUTED_VALUE"""),67.2)</f>
        <v>67.2</v>
      </c>
      <c r="F136" s="1">
        <f>IFERROR(__xludf.DUMMYFUNCTION("""COMPUTED_VALUE"""),1.6868438E7)</f>
        <v>16868438</v>
      </c>
    </row>
    <row r="137">
      <c r="A137" s="2">
        <f>IFERROR(__xludf.DUMMYFUNCTION("""COMPUTED_VALUE"""),45489.58333333333)</f>
        <v>45489.58333</v>
      </c>
      <c r="B137" s="1">
        <f>IFERROR(__xludf.DUMMYFUNCTION("""COMPUTED_VALUE"""),67.4)</f>
        <v>67.4</v>
      </c>
      <c r="C137" s="1">
        <f>IFERROR(__xludf.DUMMYFUNCTION("""COMPUTED_VALUE"""),67.96)</f>
        <v>67.96</v>
      </c>
      <c r="D137" s="1">
        <f>IFERROR(__xludf.DUMMYFUNCTION("""COMPUTED_VALUE"""),65.33)</f>
        <v>65.33</v>
      </c>
      <c r="E137" s="1">
        <f>IFERROR(__xludf.DUMMYFUNCTION("""COMPUTED_VALUE"""),65.82)</f>
        <v>65.82</v>
      </c>
      <c r="F137" s="1">
        <f>IFERROR(__xludf.DUMMYFUNCTION("""COMPUTED_VALUE"""),2.667412E7)</f>
        <v>26674120</v>
      </c>
    </row>
    <row r="138">
      <c r="A138" s="2">
        <f>IFERROR(__xludf.DUMMYFUNCTION("""COMPUTED_VALUE"""),45490.58333333333)</f>
        <v>45490.58333</v>
      </c>
      <c r="B138" s="1">
        <f>IFERROR(__xludf.DUMMYFUNCTION("""COMPUTED_VALUE"""),65.21)</f>
        <v>65.21</v>
      </c>
      <c r="C138" s="1">
        <f>IFERROR(__xludf.DUMMYFUNCTION("""COMPUTED_VALUE"""),65.89)</f>
        <v>65.89</v>
      </c>
      <c r="D138" s="1">
        <f>IFERROR(__xludf.DUMMYFUNCTION("""COMPUTED_VALUE"""),63.86)</f>
        <v>63.86</v>
      </c>
      <c r="E138" s="1">
        <f>IFERROR(__xludf.DUMMYFUNCTION("""COMPUTED_VALUE"""),64.78)</f>
        <v>64.78</v>
      </c>
      <c r="F138" s="1">
        <f>IFERROR(__xludf.DUMMYFUNCTION("""COMPUTED_VALUE"""),2.046647E7)</f>
        <v>20466470</v>
      </c>
    </row>
    <row r="139">
      <c r="A139" s="2">
        <f>IFERROR(__xludf.DUMMYFUNCTION("""COMPUTED_VALUE"""),45491.58333333333)</f>
        <v>45491.58333</v>
      </c>
      <c r="B139" s="1">
        <f>IFERROR(__xludf.DUMMYFUNCTION("""COMPUTED_VALUE"""),64.98)</f>
        <v>64.98</v>
      </c>
      <c r="C139" s="1">
        <f>IFERROR(__xludf.DUMMYFUNCTION("""COMPUTED_VALUE"""),65.29)</f>
        <v>65.29</v>
      </c>
      <c r="D139" s="1">
        <f>IFERROR(__xludf.DUMMYFUNCTION("""COMPUTED_VALUE"""),63.11)</f>
        <v>63.11</v>
      </c>
      <c r="E139" s="1">
        <f>IFERROR(__xludf.DUMMYFUNCTION("""COMPUTED_VALUE"""),63.51)</f>
        <v>63.51</v>
      </c>
      <c r="F139" s="1">
        <f>IFERROR(__xludf.DUMMYFUNCTION("""COMPUTED_VALUE"""),2.3476355E7)</f>
        <v>23476355</v>
      </c>
    </row>
    <row r="140">
      <c r="A140" s="2">
        <f>IFERROR(__xludf.DUMMYFUNCTION("""COMPUTED_VALUE"""),45492.58333333333)</f>
        <v>45492.58333</v>
      </c>
      <c r="B140" s="1">
        <f>IFERROR(__xludf.DUMMYFUNCTION("""COMPUTED_VALUE"""),63.6)</f>
        <v>63.6</v>
      </c>
      <c r="C140" s="1">
        <f>IFERROR(__xludf.DUMMYFUNCTION("""COMPUTED_VALUE"""),64.09)</f>
        <v>64.09</v>
      </c>
      <c r="D140" s="1">
        <f>IFERROR(__xludf.DUMMYFUNCTION("""COMPUTED_VALUE"""),63.4)</f>
        <v>63.4</v>
      </c>
      <c r="E140" s="1">
        <f>IFERROR(__xludf.DUMMYFUNCTION("""COMPUTED_VALUE"""),63.65)</f>
        <v>63.65</v>
      </c>
      <c r="F140" s="1">
        <f>IFERROR(__xludf.DUMMYFUNCTION("""COMPUTED_VALUE"""),8995694.0)</f>
        <v>8995694</v>
      </c>
    </row>
    <row r="141">
      <c r="A141" s="2">
        <f>IFERROR(__xludf.DUMMYFUNCTION("""COMPUTED_VALUE"""),45495.58333333333)</f>
        <v>45495.58333</v>
      </c>
      <c r="B141" s="1">
        <f>IFERROR(__xludf.DUMMYFUNCTION("""COMPUTED_VALUE"""),64.1)</f>
        <v>64.1</v>
      </c>
      <c r="C141" s="1">
        <f>IFERROR(__xludf.DUMMYFUNCTION("""COMPUTED_VALUE"""),64.15)</f>
        <v>64.15</v>
      </c>
      <c r="D141" s="1">
        <f>IFERROR(__xludf.DUMMYFUNCTION("""COMPUTED_VALUE"""),63.12)</f>
        <v>63.12</v>
      </c>
      <c r="E141" s="1">
        <f>IFERROR(__xludf.DUMMYFUNCTION("""COMPUTED_VALUE"""),63.56)</f>
        <v>63.56</v>
      </c>
      <c r="F141" s="1">
        <f>IFERROR(__xludf.DUMMYFUNCTION("""COMPUTED_VALUE"""),2.8562762E7)</f>
        <v>28562762</v>
      </c>
    </row>
    <row r="142">
      <c r="A142" s="2">
        <f>IFERROR(__xludf.DUMMYFUNCTION("""COMPUTED_VALUE"""),45496.58333333333)</f>
        <v>45496.58333</v>
      </c>
      <c r="B142" s="1">
        <f>IFERROR(__xludf.DUMMYFUNCTION("""COMPUTED_VALUE"""),63.21)</f>
        <v>63.21</v>
      </c>
      <c r="C142" s="1">
        <f>IFERROR(__xludf.DUMMYFUNCTION("""COMPUTED_VALUE"""),63.63)</f>
        <v>63.63</v>
      </c>
      <c r="D142" s="1">
        <f>IFERROR(__xludf.DUMMYFUNCTION("""COMPUTED_VALUE"""),62.72)</f>
        <v>62.72</v>
      </c>
      <c r="E142" s="1">
        <f>IFERROR(__xludf.DUMMYFUNCTION("""COMPUTED_VALUE"""),63.5)</f>
        <v>63.5</v>
      </c>
      <c r="F142" s="1">
        <f>IFERROR(__xludf.DUMMYFUNCTION("""COMPUTED_VALUE"""),2.7461846E7)</f>
        <v>27461846</v>
      </c>
    </row>
    <row r="143">
      <c r="A143" s="2">
        <f>IFERROR(__xludf.DUMMYFUNCTION("""COMPUTED_VALUE"""),45497.58333333333)</f>
        <v>45497.58333</v>
      </c>
      <c r="B143" s="1">
        <f>IFERROR(__xludf.DUMMYFUNCTION("""COMPUTED_VALUE"""),63.06)</f>
        <v>63.06</v>
      </c>
      <c r="C143" s="1">
        <f>IFERROR(__xludf.DUMMYFUNCTION("""COMPUTED_VALUE"""),63.6)</f>
        <v>63.6</v>
      </c>
      <c r="D143" s="1">
        <f>IFERROR(__xludf.DUMMYFUNCTION("""COMPUTED_VALUE"""),62.42)</f>
        <v>62.42</v>
      </c>
      <c r="E143" s="1">
        <f>IFERROR(__xludf.DUMMYFUNCTION("""COMPUTED_VALUE"""),62.76)</f>
        <v>62.76</v>
      </c>
      <c r="F143" s="1">
        <f>IFERROR(__xludf.DUMMYFUNCTION("""COMPUTED_VALUE"""),2.1960301E7)</f>
        <v>21960301</v>
      </c>
    </row>
    <row r="144">
      <c r="A144" s="2">
        <f>IFERROR(__xludf.DUMMYFUNCTION("""COMPUTED_VALUE"""),45498.58333333333)</f>
        <v>45498.58333</v>
      </c>
      <c r="B144" s="1">
        <f>IFERROR(__xludf.DUMMYFUNCTION("""COMPUTED_VALUE"""),62.7)</f>
        <v>62.7</v>
      </c>
      <c r="C144" s="1">
        <f>IFERROR(__xludf.DUMMYFUNCTION("""COMPUTED_VALUE"""),63.03)</f>
        <v>63.03</v>
      </c>
      <c r="D144" s="1">
        <f>IFERROR(__xludf.DUMMYFUNCTION("""COMPUTED_VALUE"""),61.65)</f>
        <v>61.65</v>
      </c>
      <c r="E144" s="1">
        <f>IFERROR(__xludf.DUMMYFUNCTION("""COMPUTED_VALUE"""),63.0)</f>
        <v>63</v>
      </c>
      <c r="F144" s="1">
        <f>IFERROR(__xludf.DUMMYFUNCTION("""COMPUTED_VALUE"""),3.847055E7)</f>
        <v>38470550</v>
      </c>
    </row>
    <row r="145">
      <c r="A145" s="2">
        <f>IFERROR(__xludf.DUMMYFUNCTION("""COMPUTED_VALUE"""),45499.58333333333)</f>
        <v>45499.58333</v>
      </c>
      <c r="B145" s="1">
        <f>IFERROR(__xludf.DUMMYFUNCTION("""COMPUTED_VALUE"""),62.83)</f>
        <v>62.83</v>
      </c>
      <c r="C145" s="1">
        <f>IFERROR(__xludf.DUMMYFUNCTION("""COMPUTED_VALUE"""),63.1)</f>
        <v>63.1</v>
      </c>
      <c r="D145" s="1">
        <f>IFERROR(__xludf.DUMMYFUNCTION("""COMPUTED_VALUE"""),61.22)</f>
        <v>61.22</v>
      </c>
      <c r="E145" s="1">
        <f>IFERROR(__xludf.DUMMYFUNCTION("""COMPUTED_VALUE"""),61.25)</f>
        <v>61.25</v>
      </c>
      <c r="F145" s="1">
        <f>IFERROR(__xludf.DUMMYFUNCTION("""COMPUTED_VALUE"""),3.9129781E7)</f>
        <v>39129781</v>
      </c>
    </row>
    <row r="146">
      <c r="A146" s="2">
        <f>IFERROR(__xludf.DUMMYFUNCTION("""COMPUTED_VALUE"""),45502.58333333333)</f>
        <v>45502.58333</v>
      </c>
      <c r="B146" s="1">
        <f>IFERROR(__xludf.DUMMYFUNCTION("""COMPUTED_VALUE"""),61.5)</f>
        <v>61.5</v>
      </c>
      <c r="C146" s="1">
        <f>IFERROR(__xludf.DUMMYFUNCTION("""COMPUTED_VALUE"""),62.7)</f>
        <v>62.7</v>
      </c>
      <c r="D146" s="1">
        <f>IFERROR(__xludf.DUMMYFUNCTION("""COMPUTED_VALUE"""),61.35)</f>
        <v>61.35</v>
      </c>
      <c r="E146" s="1">
        <f>IFERROR(__xludf.DUMMYFUNCTION("""COMPUTED_VALUE"""),62.02)</f>
        <v>62.02</v>
      </c>
      <c r="F146" s="1">
        <f>IFERROR(__xludf.DUMMYFUNCTION("""COMPUTED_VALUE"""),3.8324138E7)</f>
        <v>38324138</v>
      </c>
    </row>
    <row r="147">
      <c r="A147" s="2">
        <f>IFERROR(__xludf.DUMMYFUNCTION("""COMPUTED_VALUE"""),45503.58333333333)</f>
        <v>45503.58333</v>
      </c>
      <c r="B147" s="1">
        <f>IFERROR(__xludf.DUMMYFUNCTION("""COMPUTED_VALUE"""),62.44)</f>
        <v>62.44</v>
      </c>
      <c r="C147" s="1">
        <f>IFERROR(__xludf.DUMMYFUNCTION("""COMPUTED_VALUE"""),62.74)</f>
        <v>62.74</v>
      </c>
      <c r="D147" s="1">
        <f>IFERROR(__xludf.DUMMYFUNCTION("""COMPUTED_VALUE"""),61.48)</f>
        <v>61.48</v>
      </c>
      <c r="E147" s="1">
        <f>IFERROR(__xludf.DUMMYFUNCTION("""COMPUTED_VALUE"""),61.68)</f>
        <v>61.68</v>
      </c>
      <c r="F147" s="1">
        <f>IFERROR(__xludf.DUMMYFUNCTION("""COMPUTED_VALUE"""),1.4492531E7)</f>
        <v>14492531</v>
      </c>
    </row>
    <row r="148">
      <c r="A148" s="2">
        <f>IFERROR(__xludf.DUMMYFUNCTION("""COMPUTED_VALUE"""),45504.58333333333)</f>
        <v>45504.58333</v>
      </c>
      <c r="B148" s="1">
        <f>IFERROR(__xludf.DUMMYFUNCTION("""COMPUTED_VALUE"""),61.65)</f>
        <v>61.65</v>
      </c>
      <c r="C148" s="1">
        <f>IFERROR(__xludf.DUMMYFUNCTION("""COMPUTED_VALUE"""),62.19)</f>
        <v>62.19</v>
      </c>
      <c r="D148" s="1">
        <f>IFERROR(__xludf.DUMMYFUNCTION("""COMPUTED_VALUE"""),61.4)</f>
        <v>61.4</v>
      </c>
      <c r="E148" s="1">
        <f>IFERROR(__xludf.DUMMYFUNCTION("""COMPUTED_VALUE"""),62.0)</f>
        <v>62</v>
      </c>
      <c r="F148" s="1">
        <f>IFERROR(__xludf.DUMMYFUNCTION("""COMPUTED_VALUE"""),3.5126269E7)</f>
        <v>35126269</v>
      </c>
    </row>
    <row r="149">
      <c r="A149" s="2">
        <f>IFERROR(__xludf.DUMMYFUNCTION("""COMPUTED_VALUE"""),45505.58333333333)</f>
        <v>45505.58333</v>
      </c>
      <c r="B149" s="1">
        <f>IFERROR(__xludf.DUMMYFUNCTION("""COMPUTED_VALUE"""),62.0)</f>
        <v>62</v>
      </c>
      <c r="C149" s="1">
        <f>IFERROR(__xludf.DUMMYFUNCTION("""COMPUTED_VALUE"""),62.0)</f>
        <v>62</v>
      </c>
      <c r="D149" s="1">
        <f>IFERROR(__xludf.DUMMYFUNCTION("""COMPUTED_VALUE"""),60.51)</f>
        <v>60.51</v>
      </c>
      <c r="E149" s="1">
        <f>IFERROR(__xludf.DUMMYFUNCTION("""COMPUTED_VALUE"""),60.74)</f>
        <v>60.74</v>
      </c>
      <c r="F149" s="1">
        <f>IFERROR(__xludf.DUMMYFUNCTION("""COMPUTED_VALUE"""),2.256526E7)</f>
        <v>22565260</v>
      </c>
    </row>
    <row r="150">
      <c r="A150" s="2">
        <f>IFERROR(__xludf.DUMMYFUNCTION("""COMPUTED_VALUE"""),45506.58333333333)</f>
        <v>45506.58333</v>
      </c>
      <c r="B150" s="1">
        <f>IFERROR(__xludf.DUMMYFUNCTION("""COMPUTED_VALUE"""),60.96)</f>
        <v>60.96</v>
      </c>
      <c r="C150" s="1">
        <f>IFERROR(__xludf.DUMMYFUNCTION("""COMPUTED_VALUE"""),60.97)</f>
        <v>60.97</v>
      </c>
      <c r="D150" s="1">
        <f>IFERROR(__xludf.DUMMYFUNCTION("""COMPUTED_VALUE"""),59.75)</f>
        <v>59.75</v>
      </c>
      <c r="E150" s="1">
        <f>IFERROR(__xludf.DUMMYFUNCTION("""COMPUTED_VALUE"""),60.2)</f>
        <v>60.2</v>
      </c>
      <c r="F150" s="1">
        <f>IFERROR(__xludf.DUMMYFUNCTION("""COMPUTED_VALUE"""),2.7310429E7)</f>
        <v>27310429</v>
      </c>
    </row>
    <row r="151">
      <c r="A151" s="2">
        <f>IFERROR(__xludf.DUMMYFUNCTION("""COMPUTED_VALUE"""),45509.58333333333)</f>
        <v>45509.58333</v>
      </c>
      <c r="B151" s="1">
        <f>IFERROR(__xludf.DUMMYFUNCTION("""COMPUTED_VALUE"""),59.94)</f>
        <v>59.94</v>
      </c>
      <c r="C151" s="1">
        <f>IFERROR(__xludf.DUMMYFUNCTION("""COMPUTED_VALUE"""),60.54)</f>
        <v>60.54</v>
      </c>
      <c r="D151" s="1">
        <f>IFERROR(__xludf.DUMMYFUNCTION("""COMPUTED_VALUE"""),58.69)</f>
        <v>58.69</v>
      </c>
      <c r="E151" s="1">
        <f>IFERROR(__xludf.DUMMYFUNCTION("""COMPUTED_VALUE"""),59.3)</f>
        <v>59.3</v>
      </c>
      <c r="F151" s="1">
        <f>IFERROR(__xludf.DUMMYFUNCTION("""COMPUTED_VALUE"""),2.410514E7)</f>
        <v>24105140</v>
      </c>
    </row>
    <row r="152">
      <c r="A152" s="2">
        <f>IFERROR(__xludf.DUMMYFUNCTION("""COMPUTED_VALUE"""),45510.58333333333)</f>
        <v>45510.58333</v>
      </c>
      <c r="B152" s="1">
        <f>IFERROR(__xludf.DUMMYFUNCTION("""COMPUTED_VALUE"""),59.68)</f>
        <v>59.68</v>
      </c>
      <c r="C152" s="1">
        <f>IFERROR(__xludf.DUMMYFUNCTION("""COMPUTED_VALUE"""),61.18)</f>
        <v>61.18</v>
      </c>
      <c r="D152" s="1">
        <f>IFERROR(__xludf.DUMMYFUNCTION("""COMPUTED_VALUE"""),59.25)</f>
        <v>59.25</v>
      </c>
      <c r="E152" s="1">
        <f>IFERROR(__xludf.DUMMYFUNCTION("""COMPUTED_VALUE"""),60.84)</f>
        <v>60.84</v>
      </c>
      <c r="F152" s="1">
        <f>IFERROR(__xludf.DUMMYFUNCTION("""COMPUTED_VALUE"""),2.1513894E7)</f>
        <v>21513894</v>
      </c>
    </row>
    <row r="153">
      <c r="A153" s="2">
        <f>IFERROR(__xludf.DUMMYFUNCTION("""COMPUTED_VALUE"""),45511.58333333333)</f>
        <v>45511.58333</v>
      </c>
      <c r="B153" s="1">
        <f>IFERROR(__xludf.DUMMYFUNCTION("""COMPUTED_VALUE"""),60.85)</f>
        <v>60.85</v>
      </c>
      <c r="C153" s="1">
        <f>IFERROR(__xludf.DUMMYFUNCTION("""COMPUTED_VALUE"""),61.44)</f>
        <v>61.44</v>
      </c>
      <c r="D153" s="1">
        <f>IFERROR(__xludf.DUMMYFUNCTION("""COMPUTED_VALUE"""),60.55)</f>
        <v>60.55</v>
      </c>
      <c r="E153" s="1">
        <f>IFERROR(__xludf.DUMMYFUNCTION("""COMPUTED_VALUE"""),60.84)</f>
        <v>60.84</v>
      </c>
      <c r="F153" s="1">
        <f>IFERROR(__xludf.DUMMYFUNCTION("""COMPUTED_VALUE"""),2.3687794E7)</f>
        <v>23687794</v>
      </c>
    </row>
    <row r="154">
      <c r="A154" s="2">
        <f>IFERROR(__xludf.DUMMYFUNCTION("""COMPUTED_VALUE"""),45512.58333333333)</f>
        <v>45512.58333</v>
      </c>
      <c r="B154" s="1">
        <f>IFERROR(__xludf.DUMMYFUNCTION("""COMPUTED_VALUE"""),61.0)</f>
        <v>61</v>
      </c>
      <c r="C154" s="1">
        <f>IFERROR(__xludf.DUMMYFUNCTION("""COMPUTED_VALUE"""),62.0)</f>
        <v>62</v>
      </c>
      <c r="D154" s="1">
        <f>IFERROR(__xludf.DUMMYFUNCTION("""COMPUTED_VALUE"""),60.71)</f>
        <v>60.71</v>
      </c>
      <c r="E154" s="1">
        <f>IFERROR(__xludf.DUMMYFUNCTION("""COMPUTED_VALUE"""),61.8)</f>
        <v>61.8</v>
      </c>
      <c r="F154" s="1">
        <f>IFERROR(__xludf.DUMMYFUNCTION("""COMPUTED_VALUE"""),2.0694953E7)</f>
        <v>20694953</v>
      </c>
    </row>
    <row r="155">
      <c r="A155" s="2">
        <f>IFERROR(__xludf.DUMMYFUNCTION("""COMPUTED_VALUE"""),45513.58333333333)</f>
        <v>45513.58333</v>
      </c>
      <c r="B155" s="1">
        <f>IFERROR(__xludf.DUMMYFUNCTION("""COMPUTED_VALUE"""),61.78)</f>
        <v>61.78</v>
      </c>
      <c r="C155" s="1">
        <f>IFERROR(__xludf.DUMMYFUNCTION("""COMPUTED_VALUE"""),62.44)</f>
        <v>62.44</v>
      </c>
      <c r="D155" s="1">
        <f>IFERROR(__xludf.DUMMYFUNCTION("""COMPUTED_VALUE"""),61.52)</f>
        <v>61.52</v>
      </c>
      <c r="E155" s="1">
        <f>IFERROR(__xludf.DUMMYFUNCTION("""COMPUTED_VALUE"""),62.33)</f>
        <v>62.33</v>
      </c>
      <c r="F155" s="1">
        <f>IFERROR(__xludf.DUMMYFUNCTION("""COMPUTED_VALUE"""),1.6088206E7)</f>
        <v>16088206</v>
      </c>
    </row>
    <row r="156">
      <c r="A156" s="2">
        <f>IFERROR(__xludf.DUMMYFUNCTION("""COMPUTED_VALUE"""),45516.58333333333)</f>
        <v>45516.58333</v>
      </c>
      <c r="B156" s="1">
        <f>IFERROR(__xludf.DUMMYFUNCTION("""COMPUTED_VALUE"""),62.02)</f>
        <v>62.02</v>
      </c>
      <c r="C156" s="1">
        <f>IFERROR(__xludf.DUMMYFUNCTION("""COMPUTED_VALUE"""),62.93)</f>
        <v>62.93</v>
      </c>
      <c r="D156" s="1">
        <f>IFERROR(__xludf.DUMMYFUNCTION("""COMPUTED_VALUE"""),62.02)</f>
        <v>62.02</v>
      </c>
      <c r="E156" s="1">
        <f>IFERROR(__xludf.DUMMYFUNCTION("""COMPUTED_VALUE"""),62.61)</f>
        <v>62.61</v>
      </c>
      <c r="F156" s="1">
        <f>IFERROR(__xludf.DUMMYFUNCTION("""COMPUTED_VALUE"""),1.7497062E7)</f>
        <v>17497062</v>
      </c>
    </row>
    <row r="157">
      <c r="A157" s="2">
        <f>IFERROR(__xludf.DUMMYFUNCTION("""COMPUTED_VALUE"""),45517.58333333333)</f>
        <v>45517.58333</v>
      </c>
      <c r="B157" s="1">
        <f>IFERROR(__xludf.DUMMYFUNCTION("""COMPUTED_VALUE"""),62.9)</f>
        <v>62.9</v>
      </c>
      <c r="C157" s="1">
        <f>IFERROR(__xludf.DUMMYFUNCTION("""COMPUTED_VALUE"""),63.55)</f>
        <v>63.55</v>
      </c>
      <c r="D157" s="1">
        <f>IFERROR(__xludf.DUMMYFUNCTION("""COMPUTED_VALUE"""),62.71)</f>
        <v>62.71</v>
      </c>
      <c r="E157" s="1">
        <f>IFERROR(__xludf.DUMMYFUNCTION("""COMPUTED_VALUE"""),63.51)</f>
        <v>63.51</v>
      </c>
      <c r="F157" s="1">
        <f>IFERROR(__xludf.DUMMYFUNCTION("""COMPUTED_VALUE"""),2.0268018E7)</f>
        <v>20268018</v>
      </c>
    </row>
    <row r="158">
      <c r="A158" s="2">
        <f>IFERROR(__xludf.DUMMYFUNCTION("""COMPUTED_VALUE"""),45518.58333333333)</f>
        <v>45518.58333</v>
      </c>
      <c r="B158" s="1">
        <f>IFERROR(__xludf.DUMMYFUNCTION("""COMPUTED_VALUE"""),63.51)</f>
        <v>63.51</v>
      </c>
      <c r="C158" s="1">
        <f>IFERROR(__xludf.DUMMYFUNCTION("""COMPUTED_VALUE"""),63.59)</f>
        <v>63.59</v>
      </c>
      <c r="D158" s="1">
        <f>IFERROR(__xludf.DUMMYFUNCTION("""COMPUTED_VALUE"""),62.37)</f>
        <v>62.37</v>
      </c>
      <c r="E158" s="1">
        <f>IFERROR(__xludf.DUMMYFUNCTION("""COMPUTED_VALUE"""),62.61)</f>
        <v>62.61</v>
      </c>
      <c r="F158" s="1">
        <f>IFERROR(__xludf.DUMMYFUNCTION("""COMPUTED_VALUE"""),2.0013747E7)</f>
        <v>20013747</v>
      </c>
    </row>
    <row r="159">
      <c r="A159" s="2">
        <f>IFERROR(__xludf.DUMMYFUNCTION("""COMPUTED_VALUE"""),45519.58333333333)</f>
        <v>45519.58333</v>
      </c>
      <c r="B159" s="1">
        <f>IFERROR(__xludf.DUMMYFUNCTION("""COMPUTED_VALUE"""),62.31)</f>
        <v>62.31</v>
      </c>
      <c r="C159" s="1">
        <f>IFERROR(__xludf.DUMMYFUNCTION("""COMPUTED_VALUE"""),63.34)</f>
        <v>63.34</v>
      </c>
      <c r="D159" s="1">
        <f>IFERROR(__xludf.DUMMYFUNCTION("""COMPUTED_VALUE"""),62.16)</f>
        <v>62.16</v>
      </c>
      <c r="E159" s="1">
        <f>IFERROR(__xludf.DUMMYFUNCTION("""COMPUTED_VALUE"""),63.13)</f>
        <v>63.13</v>
      </c>
      <c r="F159" s="1">
        <f>IFERROR(__xludf.DUMMYFUNCTION("""COMPUTED_VALUE"""),2.3523366E7)</f>
        <v>23523366</v>
      </c>
    </row>
    <row r="160">
      <c r="A160" s="2">
        <f>IFERROR(__xludf.DUMMYFUNCTION("""COMPUTED_VALUE"""),45520.58333333333)</f>
        <v>45520.58333</v>
      </c>
      <c r="B160" s="1">
        <f>IFERROR(__xludf.DUMMYFUNCTION("""COMPUTED_VALUE"""),63.15)</f>
        <v>63.15</v>
      </c>
      <c r="C160" s="1">
        <f>IFERROR(__xludf.DUMMYFUNCTION("""COMPUTED_VALUE"""),63.43)</f>
        <v>63.43</v>
      </c>
      <c r="D160" s="1">
        <f>IFERROR(__xludf.DUMMYFUNCTION("""COMPUTED_VALUE"""),62.91)</f>
        <v>62.91</v>
      </c>
      <c r="E160" s="1">
        <f>IFERROR(__xludf.DUMMYFUNCTION("""COMPUTED_VALUE"""),63.12)</f>
        <v>63.12</v>
      </c>
      <c r="F160" s="1">
        <f>IFERROR(__xludf.DUMMYFUNCTION("""COMPUTED_VALUE"""),1.9118621E7)</f>
        <v>19118621</v>
      </c>
    </row>
    <row r="161">
      <c r="A161" s="2">
        <f>IFERROR(__xludf.DUMMYFUNCTION("""COMPUTED_VALUE"""),45523.58333333333)</f>
        <v>45523.58333</v>
      </c>
      <c r="B161" s="1">
        <f>IFERROR(__xludf.DUMMYFUNCTION("""COMPUTED_VALUE"""),63.1)</f>
        <v>63.1</v>
      </c>
      <c r="C161" s="1">
        <f>IFERROR(__xludf.DUMMYFUNCTION("""COMPUTED_VALUE"""),63.59)</f>
        <v>63.59</v>
      </c>
      <c r="D161" s="1">
        <f>IFERROR(__xludf.DUMMYFUNCTION("""COMPUTED_VALUE"""),62.6)</f>
        <v>62.6</v>
      </c>
      <c r="E161" s="1">
        <f>IFERROR(__xludf.DUMMYFUNCTION("""COMPUTED_VALUE"""),62.9)</f>
        <v>62.9</v>
      </c>
      <c r="F161" s="1">
        <f>IFERROR(__xludf.DUMMYFUNCTION("""COMPUTED_VALUE"""),1.4476058E7)</f>
        <v>14476058</v>
      </c>
    </row>
    <row r="162">
      <c r="A162" s="2">
        <f>IFERROR(__xludf.DUMMYFUNCTION("""COMPUTED_VALUE"""),45524.58333333333)</f>
        <v>45524.58333</v>
      </c>
      <c r="B162" s="1">
        <f>IFERROR(__xludf.DUMMYFUNCTION("""COMPUTED_VALUE"""),62.89)</f>
        <v>62.89</v>
      </c>
      <c r="C162" s="1">
        <f>IFERROR(__xludf.DUMMYFUNCTION("""COMPUTED_VALUE"""),63.29)</f>
        <v>63.29</v>
      </c>
      <c r="D162" s="1">
        <f>IFERROR(__xludf.DUMMYFUNCTION("""COMPUTED_VALUE"""),61.51)</f>
        <v>61.51</v>
      </c>
      <c r="E162" s="1">
        <f>IFERROR(__xludf.DUMMYFUNCTION("""COMPUTED_VALUE"""),62.67)</f>
        <v>62.67</v>
      </c>
      <c r="F162" s="1">
        <f>IFERROR(__xludf.DUMMYFUNCTION("""COMPUTED_VALUE"""),3.7926702E7)</f>
        <v>37926702</v>
      </c>
    </row>
    <row r="163">
      <c r="A163" s="2">
        <f>IFERROR(__xludf.DUMMYFUNCTION("""COMPUTED_VALUE"""),45525.58333333333)</f>
        <v>45525.58333</v>
      </c>
      <c r="B163" s="1">
        <f>IFERROR(__xludf.DUMMYFUNCTION("""COMPUTED_VALUE"""),62.6)</f>
        <v>62.6</v>
      </c>
      <c r="C163" s="1">
        <f>IFERROR(__xludf.DUMMYFUNCTION("""COMPUTED_VALUE"""),64.25)</f>
        <v>64.25</v>
      </c>
      <c r="D163" s="1">
        <f>IFERROR(__xludf.DUMMYFUNCTION("""COMPUTED_VALUE"""),62.5)</f>
        <v>62.5</v>
      </c>
      <c r="E163" s="1">
        <f>IFERROR(__xludf.DUMMYFUNCTION("""COMPUTED_VALUE"""),64.07)</f>
        <v>64.07</v>
      </c>
      <c r="F163" s="1">
        <f>IFERROR(__xludf.DUMMYFUNCTION("""COMPUTED_VALUE"""),2.1434229E7)</f>
        <v>21434229</v>
      </c>
    </row>
    <row r="164">
      <c r="A164" s="2">
        <f>IFERROR(__xludf.DUMMYFUNCTION("""COMPUTED_VALUE"""),45526.58333333333)</f>
        <v>45526.58333</v>
      </c>
      <c r="B164" s="1">
        <f>IFERROR(__xludf.DUMMYFUNCTION("""COMPUTED_VALUE"""),64.01)</f>
        <v>64.01</v>
      </c>
      <c r="C164" s="1">
        <f>IFERROR(__xludf.DUMMYFUNCTION("""COMPUTED_VALUE"""),64.3)</f>
        <v>64.3</v>
      </c>
      <c r="D164" s="1">
        <f>IFERROR(__xludf.DUMMYFUNCTION("""COMPUTED_VALUE"""),62.83)</f>
        <v>62.83</v>
      </c>
      <c r="E164" s="1">
        <f>IFERROR(__xludf.DUMMYFUNCTION("""COMPUTED_VALUE"""),63.2)</f>
        <v>63.2</v>
      </c>
      <c r="F164" s="1">
        <f>IFERROR(__xludf.DUMMYFUNCTION("""COMPUTED_VALUE"""),2.1731157E7)</f>
        <v>21731157</v>
      </c>
    </row>
    <row r="165">
      <c r="A165" s="2">
        <f>IFERROR(__xludf.DUMMYFUNCTION("""COMPUTED_VALUE"""),45527.58333333333)</f>
        <v>45527.58333</v>
      </c>
      <c r="B165" s="1">
        <f>IFERROR(__xludf.DUMMYFUNCTION("""COMPUTED_VALUE"""),62.87)</f>
        <v>62.87</v>
      </c>
      <c r="C165" s="1">
        <f>IFERROR(__xludf.DUMMYFUNCTION("""COMPUTED_VALUE"""),63.46)</f>
        <v>63.46</v>
      </c>
      <c r="D165" s="1">
        <f>IFERROR(__xludf.DUMMYFUNCTION("""COMPUTED_VALUE"""),62.87)</f>
        <v>62.87</v>
      </c>
      <c r="E165" s="1">
        <f>IFERROR(__xludf.DUMMYFUNCTION("""COMPUTED_VALUE"""),63.26)</f>
        <v>63.26</v>
      </c>
      <c r="F165" s="1">
        <f>IFERROR(__xludf.DUMMYFUNCTION("""COMPUTED_VALUE"""),1.1828533E7)</f>
        <v>11828533</v>
      </c>
    </row>
    <row r="166">
      <c r="A166" s="2">
        <f>IFERROR(__xludf.DUMMYFUNCTION("""COMPUTED_VALUE"""),45530.58333333333)</f>
        <v>45530.58333</v>
      </c>
      <c r="B166" s="1">
        <f>IFERROR(__xludf.DUMMYFUNCTION("""COMPUTED_VALUE"""),63.06)</f>
        <v>63.06</v>
      </c>
      <c r="C166" s="1">
        <f>IFERROR(__xludf.DUMMYFUNCTION("""COMPUTED_VALUE"""),63.81)</f>
        <v>63.81</v>
      </c>
      <c r="D166" s="1">
        <f>IFERROR(__xludf.DUMMYFUNCTION("""COMPUTED_VALUE"""),62.13)</f>
        <v>62.13</v>
      </c>
      <c r="E166" s="1">
        <f>IFERROR(__xludf.DUMMYFUNCTION("""COMPUTED_VALUE"""),62.8)</f>
        <v>62.8</v>
      </c>
      <c r="F166" s="1">
        <f>IFERROR(__xludf.DUMMYFUNCTION("""COMPUTED_VALUE"""),2.069E7)</f>
        <v>20690000</v>
      </c>
    </row>
    <row r="167">
      <c r="A167" s="2">
        <f>IFERROR(__xludf.DUMMYFUNCTION("""COMPUTED_VALUE"""),45531.58333333333)</f>
        <v>45531.58333</v>
      </c>
      <c r="B167" s="1">
        <f>IFERROR(__xludf.DUMMYFUNCTION("""COMPUTED_VALUE"""),62.8)</f>
        <v>62.8</v>
      </c>
      <c r="C167" s="1">
        <f>IFERROR(__xludf.DUMMYFUNCTION("""COMPUTED_VALUE"""),63.99)</f>
        <v>63.99</v>
      </c>
      <c r="D167" s="1">
        <f>IFERROR(__xludf.DUMMYFUNCTION("""COMPUTED_VALUE"""),61.9)</f>
        <v>61.9</v>
      </c>
      <c r="E167" s="1">
        <f>IFERROR(__xludf.DUMMYFUNCTION("""COMPUTED_VALUE"""),62.52)</f>
        <v>62.52</v>
      </c>
      <c r="F167" s="1">
        <f>IFERROR(__xludf.DUMMYFUNCTION("""COMPUTED_VALUE"""),2.9209764E7)</f>
        <v>29209764</v>
      </c>
    </row>
    <row r="168">
      <c r="A168" s="2">
        <f>IFERROR(__xludf.DUMMYFUNCTION("""COMPUTED_VALUE"""),45532.58333333333)</f>
        <v>45532.58333</v>
      </c>
      <c r="B168" s="1">
        <f>IFERROR(__xludf.DUMMYFUNCTION("""COMPUTED_VALUE"""),62.33)</f>
        <v>62.33</v>
      </c>
      <c r="C168" s="1">
        <f>IFERROR(__xludf.DUMMYFUNCTION("""COMPUTED_VALUE"""),62.9)</f>
        <v>62.9</v>
      </c>
      <c r="D168" s="1">
        <f>IFERROR(__xludf.DUMMYFUNCTION("""COMPUTED_VALUE"""),61.19)</f>
        <v>61.19</v>
      </c>
      <c r="E168" s="1">
        <f>IFERROR(__xludf.DUMMYFUNCTION("""COMPUTED_VALUE"""),61.55)</f>
        <v>61.55</v>
      </c>
      <c r="F168" s="1">
        <f>IFERROR(__xludf.DUMMYFUNCTION("""COMPUTED_VALUE"""),2.74811E7)</f>
        <v>27481100</v>
      </c>
    </row>
    <row r="169">
      <c r="A169" s="2">
        <f>IFERROR(__xludf.DUMMYFUNCTION("""COMPUTED_VALUE"""),45533.58333333333)</f>
        <v>45533.58333</v>
      </c>
      <c r="B169" s="1">
        <f>IFERROR(__xludf.DUMMYFUNCTION("""COMPUTED_VALUE"""),61.72)</f>
        <v>61.72</v>
      </c>
      <c r="C169" s="1">
        <f>IFERROR(__xludf.DUMMYFUNCTION("""COMPUTED_VALUE"""),62.85)</f>
        <v>62.85</v>
      </c>
      <c r="D169" s="1">
        <f>IFERROR(__xludf.DUMMYFUNCTION("""COMPUTED_VALUE"""),61.45)</f>
        <v>61.45</v>
      </c>
      <c r="E169" s="1">
        <f>IFERROR(__xludf.DUMMYFUNCTION("""COMPUTED_VALUE"""),62.65)</f>
        <v>62.65</v>
      </c>
      <c r="F169" s="1">
        <f>IFERROR(__xludf.DUMMYFUNCTION("""COMPUTED_VALUE"""),1.9403285E7)</f>
        <v>19403285</v>
      </c>
    </row>
    <row r="170">
      <c r="A170" s="2">
        <f>IFERROR(__xludf.DUMMYFUNCTION("""COMPUTED_VALUE"""),45534.58333333333)</f>
        <v>45534.58333</v>
      </c>
      <c r="B170" s="1">
        <f>IFERROR(__xludf.DUMMYFUNCTION("""COMPUTED_VALUE"""),62.22)</f>
        <v>62.22</v>
      </c>
      <c r="C170" s="1">
        <f>IFERROR(__xludf.DUMMYFUNCTION("""COMPUTED_VALUE"""),63.22)</f>
        <v>63.22</v>
      </c>
      <c r="D170" s="1">
        <f>IFERROR(__xludf.DUMMYFUNCTION("""COMPUTED_VALUE"""),62.17)</f>
        <v>62.17</v>
      </c>
      <c r="E170" s="1">
        <f>IFERROR(__xludf.DUMMYFUNCTION("""COMPUTED_VALUE"""),62.68)</f>
        <v>62.68</v>
      </c>
      <c r="F170" s="1">
        <f>IFERROR(__xludf.DUMMYFUNCTION("""COMPUTED_VALUE"""),5.6317179E7)</f>
        <v>56317179</v>
      </c>
    </row>
    <row r="171">
      <c r="A171" s="2">
        <f>IFERROR(__xludf.DUMMYFUNCTION("""COMPUTED_VALUE"""),45537.58333333333)</f>
        <v>45537.58333</v>
      </c>
      <c r="B171" s="1">
        <f>IFERROR(__xludf.DUMMYFUNCTION("""COMPUTED_VALUE"""),62.78)</f>
        <v>62.78</v>
      </c>
      <c r="C171" s="1">
        <f>IFERROR(__xludf.DUMMYFUNCTION("""COMPUTED_VALUE"""),63.5)</f>
        <v>63.5</v>
      </c>
      <c r="D171" s="1">
        <f>IFERROR(__xludf.DUMMYFUNCTION("""COMPUTED_VALUE"""),62.22)</f>
        <v>62.22</v>
      </c>
      <c r="E171" s="1">
        <f>IFERROR(__xludf.DUMMYFUNCTION("""COMPUTED_VALUE"""),63.25)</f>
        <v>63.25</v>
      </c>
      <c r="F171" s="1">
        <f>IFERROR(__xludf.DUMMYFUNCTION("""COMPUTED_VALUE"""),1878287.0)</f>
        <v>1878287</v>
      </c>
    </row>
    <row r="172">
      <c r="A172" s="2">
        <f>IFERROR(__xludf.DUMMYFUNCTION("""COMPUTED_VALUE"""),45538.58333333333)</f>
        <v>45538.58333</v>
      </c>
      <c r="B172" s="1">
        <f>IFERROR(__xludf.DUMMYFUNCTION("""COMPUTED_VALUE"""),63.49)</f>
        <v>63.49</v>
      </c>
      <c r="C172" s="1">
        <f>IFERROR(__xludf.DUMMYFUNCTION("""COMPUTED_VALUE"""),63.49)</f>
        <v>63.49</v>
      </c>
      <c r="D172" s="1">
        <f>IFERROR(__xludf.DUMMYFUNCTION("""COMPUTED_VALUE"""),61.01)</f>
        <v>61.01</v>
      </c>
      <c r="E172" s="1">
        <f>IFERROR(__xludf.DUMMYFUNCTION("""COMPUTED_VALUE"""),61.89)</f>
        <v>61.89</v>
      </c>
      <c r="F172" s="1">
        <f>IFERROR(__xludf.DUMMYFUNCTION("""COMPUTED_VALUE"""),1.4169943E7)</f>
        <v>14169943</v>
      </c>
    </row>
    <row r="173">
      <c r="A173" s="2">
        <f>IFERROR(__xludf.DUMMYFUNCTION("""COMPUTED_VALUE"""),45539.58333333333)</f>
        <v>45539.58333</v>
      </c>
      <c r="B173" s="1">
        <f>IFERROR(__xludf.DUMMYFUNCTION("""COMPUTED_VALUE"""),61.85)</f>
        <v>61.85</v>
      </c>
      <c r="C173" s="1">
        <f>IFERROR(__xludf.DUMMYFUNCTION("""COMPUTED_VALUE"""),62.34)</f>
        <v>62.34</v>
      </c>
      <c r="D173" s="1">
        <f>IFERROR(__xludf.DUMMYFUNCTION("""COMPUTED_VALUE"""),60.36)</f>
        <v>60.36</v>
      </c>
      <c r="E173" s="1">
        <f>IFERROR(__xludf.DUMMYFUNCTION("""COMPUTED_VALUE"""),60.79)</f>
        <v>60.79</v>
      </c>
      <c r="F173" s="1">
        <f>IFERROR(__xludf.DUMMYFUNCTION("""COMPUTED_VALUE"""),1.6292165E7)</f>
        <v>16292165</v>
      </c>
    </row>
    <row r="174">
      <c r="A174" s="2">
        <f>IFERROR(__xludf.DUMMYFUNCTION("""COMPUTED_VALUE"""),45540.58333333333)</f>
        <v>45540.58333</v>
      </c>
      <c r="B174" s="1">
        <f>IFERROR(__xludf.DUMMYFUNCTION("""COMPUTED_VALUE"""),60.82)</f>
        <v>60.82</v>
      </c>
      <c r="C174" s="1">
        <f>IFERROR(__xludf.DUMMYFUNCTION("""COMPUTED_VALUE"""),60.85)</f>
        <v>60.85</v>
      </c>
      <c r="D174" s="1">
        <f>IFERROR(__xludf.DUMMYFUNCTION("""COMPUTED_VALUE"""),59.61)</f>
        <v>59.61</v>
      </c>
      <c r="E174" s="1">
        <f>IFERROR(__xludf.DUMMYFUNCTION("""COMPUTED_VALUE"""),59.95)</f>
        <v>59.95</v>
      </c>
      <c r="F174" s="1">
        <f>IFERROR(__xludf.DUMMYFUNCTION("""COMPUTED_VALUE"""),2.2422831E7)</f>
        <v>22422831</v>
      </c>
    </row>
    <row r="175">
      <c r="A175" s="2">
        <f>IFERROR(__xludf.DUMMYFUNCTION("""COMPUTED_VALUE"""),45541.58333333333)</f>
        <v>45541.58333</v>
      </c>
      <c r="B175" s="1">
        <f>IFERROR(__xludf.DUMMYFUNCTION("""COMPUTED_VALUE"""),60.19)</f>
        <v>60.19</v>
      </c>
      <c r="C175" s="1">
        <f>IFERROR(__xludf.DUMMYFUNCTION("""COMPUTED_VALUE"""),60.36)</f>
        <v>60.36</v>
      </c>
      <c r="D175" s="1">
        <f>IFERROR(__xludf.DUMMYFUNCTION("""COMPUTED_VALUE"""),59.29)</f>
        <v>59.29</v>
      </c>
      <c r="E175" s="1">
        <f>IFERROR(__xludf.DUMMYFUNCTION("""COMPUTED_VALUE"""),59.61)</f>
        <v>59.61</v>
      </c>
      <c r="F175" s="1">
        <f>IFERROR(__xludf.DUMMYFUNCTION("""COMPUTED_VALUE"""),1.8605145E7)</f>
        <v>18605145</v>
      </c>
    </row>
    <row r="176">
      <c r="A176" s="2">
        <f>IFERROR(__xludf.DUMMYFUNCTION("""COMPUTED_VALUE"""),45544.58333333333)</f>
        <v>45544.58333</v>
      </c>
      <c r="B176" s="1">
        <f>IFERROR(__xludf.DUMMYFUNCTION("""COMPUTED_VALUE"""),59.88)</f>
        <v>59.88</v>
      </c>
      <c r="C176" s="1">
        <f>IFERROR(__xludf.DUMMYFUNCTION("""COMPUTED_VALUE"""),61.25)</f>
        <v>61.25</v>
      </c>
      <c r="D176" s="1">
        <f>IFERROR(__xludf.DUMMYFUNCTION("""COMPUTED_VALUE"""),59.8)</f>
        <v>59.8</v>
      </c>
      <c r="E176" s="1">
        <f>IFERROR(__xludf.DUMMYFUNCTION("""COMPUTED_VALUE"""),60.78)</f>
        <v>60.78</v>
      </c>
      <c r="F176" s="1">
        <f>IFERROR(__xludf.DUMMYFUNCTION("""COMPUTED_VALUE"""),2.7584367E7)</f>
        <v>27584367</v>
      </c>
    </row>
    <row r="177">
      <c r="A177" s="2">
        <f>IFERROR(__xludf.DUMMYFUNCTION("""COMPUTED_VALUE"""),45545.58333333333)</f>
        <v>45545.58333</v>
      </c>
      <c r="B177" s="1">
        <f>IFERROR(__xludf.DUMMYFUNCTION("""COMPUTED_VALUE"""),60.94)</f>
        <v>60.94</v>
      </c>
      <c r="C177" s="1">
        <f>IFERROR(__xludf.DUMMYFUNCTION("""COMPUTED_VALUE"""),60.94)</f>
        <v>60.94</v>
      </c>
      <c r="D177" s="1">
        <f>IFERROR(__xludf.DUMMYFUNCTION("""COMPUTED_VALUE"""),59.56)</f>
        <v>59.56</v>
      </c>
      <c r="E177" s="1">
        <f>IFERROR(__xludf.DUMMYFUNCTION("""COMPUTED_VALUE"""),60.12)</f>
        <v>60.12</v>
      </c>
      <c r="F177" s="1">
        <f>IFERROR(__xludf.DUMMYFUNCTION("""COMPUTED_VALUE"""),2.0186106E7)</f>
        <v>20186106</v>
      </c>
    </row>
    <row r="178">
      <c r="A178" s="2">
        <f>IFERROR(__xludf.DUMMYFUNCTION("""COMPUTED_VALUE"""),45546.58333333333)</f>
        <v>45546.58333</v>
      </c>
      <c r="B178" s="1">
        <f>IFERROR(__xludf.DUMMYFUNCTION("""COMPUTED_VALUE"""),60.05)</f>
        <v>60.05</v>
      </c>
      <c r="C178" s="1">
        <f>IFERROR(__xludf.DUMMYFUNCTION("""COMPUTED_VALUE"""),62.27)</f>
        <v>62.27</v>
      </c>
      <c r="D178" s="1">
        <f>IFERROR(__xludf.DUMMYFUNCTION("""COMPUTED_VALUE"""),59.95)</f>
        <v>59.95</v>
      </c>
      <c r="E178" s="1">
        <f>IFERROR(__xludf.DUMMYFUNCTION("""COMPUTED_VALUE"""),61.0)</f>
        <v>61</v>
      </c>
      <c r="F178" s="1">
        <f>IFERROR(__xludf.DUMMYFUNCTION("""COMPUTED_VALUE"""),2.7186093E7)</f>
        <v>27186093</v>
      </c>
    </row>
    <row r="179">
      <c r="A179" s="2">
        <f>IFERROR(__xludf.DUMMYFUNCTION("""COMPUTED_VALUE"""),45547.58333333333)</f>
        <v>45547.58333</v>
      </c>
      <c r="B179" s="1">
        <f>IFERROR(__xludf.DUMMYFUNCTION("""COMPUTED_VALUE"""),61.16)</f>
        <v>61.16</v>
      </c>
      <c r="C179" s="1">
        <f>IFERROR(__xludf.DUMMYFUNCTION("""COMPUTED_VALUE"""),61.89)</f>
        <v>61.89</v>
      </c>
      <c r="D179" s="1">
        <f>IFERROR(__xludf.DUMMYFUNCTION("""COMPUTED_VALUE"""),61.0)</f>
        <v>61</v>
      </c>
      <c r="E179" s="1">
        <f>IFERROR(__xludf.DUMMYFUNCTION("""COMPUTED_VALUE"""),61.32)</f>
        <v>61.32</v>
      </c>
      <c r="F179" s="1">
        <f>IFERROR(__xludf.DUMMYFUNCTION("""COMPUTED_VALUE"""),1.5128216E7)</f>
        <v>15128216</v>
      </c>
    </row>
    <row r="180">
      <c r="A180" s="2">
        <f>IFERROR(__xludf.DUMMYFUNCTION("""COMPUTED_VALUE"""),45548.58333333333)</f>
        <v>45548.58333</v>
      </c>
      <c r="B180" s="1">
        <f>IFERROR(__xludf.DUMMYFUNCTION("""COMPUTED_VALUE"""),61.08)</f>
        <v>61.08</v>
      </c>
      <c r="C180" s="1">
        <f>IFERROR(__xludf.DUMMYFUNCTION("""COMPUTED_VALUE"""),61.59)</f>
        <v>61.59</v>
      </c>
      <c r="D180" s="1">
        <f>IFERROR(__xludf.DUMMYFUNCTION("""COMPUTED_VALUE"""),60.34)</f>
        <v>60.34</v>
      </c>
      <c r="E180" s="1">
        <f>IFERROR(__xludf.DUMMYFUNCTION("""COMPUTED_VALUE"""),60.79)</f>
        <v>60.79</v>
      </c>
      <c r="F180" s="1">
        <f>IFERROR(__xludf.DUMMYFUNCTION("""COMPUTED_VALUE"""),1.6166275E7)</f>
        <v>16166275</v>
      </c>
    </row>
    <row r="181">
      <c r="A181" s="2">
        <f>IFERROR(__xludf.DUMMYFUNCTION("""COMPUTED_VALUE"""),45552.58333333333)</f>
        <v>45552.58333</v>
      </c>
      <c r="B181" s="1">
        <f>IFERROR(__xludf.DUMMYFUNCTION("""COMPUTED_VALUE"""),60.15)</f>
        <v>60.15</v>
      </c>
      <c r="C181" s="1">
        <f>IFERROR(__xludf.DUMMYFUNCTION("""COMPUTED_VALUE"""),62.86)</f>
        <v>62.86</v>
      </c>
      <c r="D181" s="1">
        <f>IFERROR(__xludf.DUMMYFUNCTION("""COMPUTED_VALUE"""),60.12)</f>
        <v>60.12</v>
      </c>
      <c r="E181" s="1">
        <f>IFERROR(__xludf.DUMMYFUNCTION("""COMPUTED_VALUE"""),61.95)</f>
        <v>61.95</v>
      </c>
      <c r="F181" s="1">
        <f>IFERROR(__xludf.DUMMYFUNCTION("""COMPUTED_VALUE"""),2.4583061E7)</f>
        <v>24583061</v>
      </c>
    </row>
    <row r="182">
      <c r="A182" s="2">
        <f>IFERROR(__xludf.DUMMYFUNCTION("""COMPUTED_VALUE"""),45553.58333333333)</f>
        <v>45553.58333</v>
      </c>
      <c r="B182" s="1">
        <f>IFERROR(__xludf.DUMMYFUNCTION("""COMPUTED_VALUE"""),62.02)</f>
        <v>62.02</v>
      </c>
      <c r="C182" s="1">
        <f>IFERROR(__xludf.DUMMYFUNCTION("""COMPUTED_VALUE"""),62.34)</f>
        <v>62.34</v>
      </c>
      <c r="D182" s="1">
        <f>IFERROR(__xludf.DUMMYFUNCTION("""COMPUTED_VALUE"""),60.51)</f>
        <v>60.51</v>
      </c>
      <c r="E182" s="1">
        <f>IFERROR(__xludf.DUMMYFUNCTION("""COMPUTED_VALUE"""),61.1)</f>
        <v>61.1</v>
      </c>
      <c r="F182" s="1">
        <f>IFERROR(__xludf.DUMMYFUNCTION("""COMPUTED_VALUE"""),9897249.0)</f>
        <v>9897249</v>
      </c>
    </row>
    <row r="183">
      <c r="A183" s="2">
        <f>IFERROR(__xludf.DUMMYFUNCTION("""COMPUTED_VALUE"""),45554.58333333333)</f>
        <v>45554.58333</v>
      </c>
      <c r="B183" s="1">
        <f>IFERROR(__xludf.DUMMYFUNCTION("""COMPUTED_VALUE"""),61.38)</f>
        <v>61.38</v>
      </c>
      <c r="C183" s="1">
        <f>IFERROR(__xludf.DUMMYFUNCTION("""COMPUTED_VALUE"""),61.7)</f>
        <v>61.7</v>
      </c>
      <c r="D183" s="1">
        <f>IFERROR(__xludf.DUMMYFUNCTION("""COMPUTED_VALUE"""),60.9)</f>
        <v>60.9</v>
      </c>
      <c r="E183" s="1">
        <f>IFERROR(__xludf.DUMMYFUNCTION("""COMPUTED_VALUE"""),61.12)</f>
        <v>61.12</v>
      </c>
      <c r="F183" s="1">
        <f>IFERROR(__xludf.DUMMYFUNCTION("""COMPUTED_VALUE"""),1.2662939E7)</f>
        <v>12662939</v>
      </c>
    </row>
    <row r="184">
      <c r="A184" s="2">
        <f>IFERROR(__xludf.DUMMYFUNCTION("""COMPUTED_VALUE"""),45555.58333333333)</f>
        <v>45555.58333</v>
      </c>
      <c r="B184" s="1">
        <f>IFERROR(__xludf.DUMMYFUNCTION("""COMPUTED_VALUE"""),61.33)</f>
        <v>61.33</v>
      </c>
      <c r="C184" s="1">
        <f>IFERROR(__xludf.DUMMYFUNCTION("""COMPUTED_VALUE"""),61.41)</f>
        <v>61.41</v>
      </c>
      <c r="D184" s="1">
        <f>IFERROR(__xludf.DUMMYFUNCTION("""COMPUTED_VALUE"""),60.61)</f>
        <v>60.61</v>
      </c>
      <c r="E184" s="1">
        <f>IFERROR(__xludf.DUMMYFUNCTION("""COMPUTED_VALUE"""),60.8)</f>
        <v>60.8</v>
      </c>
      <c r="F184" s="1">
        <f>IFERROR(__xludf.DUMMYFUNCTION("""COMPUTED_VALUE"""),3.5683368E7)</f>
        <v>35683368</v>
      </c>
    </row>
    <row r="185">
      <c r="A185" s="2">
        <f>IFERROR(__xludf.DUMMYFUNCTION("""COMPUTED_VALUE"""),45558.58333333333)</f>
        <v>45558.58333</v>
      </c>
      <c r="B185" s="1">
        <f>IFERROR(__xludf.DUMMYFUNCTION("""COMPUTED_VALUE"""),60.98)</f>
        <v>60.98</v>
      </c>
      <c r="C185" s="1">
        <f>IFERROR(__xludf.DUMMYFUNCTION("""COMPUTED_VALUE"""),60.99)</f>
        <v>60.99</v>
      </c>
      <c r="D185" s="1">
        <f>IFERROR(__xludf.DUMMYFUNCTION("""COMPUTED_VALUE"""),60.11)</f>
        <v>60.11</v>
      </c>
      <c r="E185" s="1">
        <f>IFERROR(__xludf.DUMMYFUNCTION("""COMPUTED_VALUE"""),60.49)</f>
        <v>60.49</v>
      </c>
      <c r="F185" s="1">
        <f>IFERROR(__xludf.DUMMYFUNCTION("""COMPUTED_VALUE"""),1.2173721E7)</f>
        <v>12173721</v>
      </c>
    </row>
    <row r="186">
      <c r="A186" s="2">
        <f>IFERROR(__xludf.DUMMYFUNCTION("""COMPUTED_VALUE"""),45559.58333333333)</f>
        <v>45559.58333</v>
      </c>
      <c r="B186" s="1">
        <f>IFERROR(__xludf.DUMMYFUNCTION("""COMPUTED_VALUE"""),60.89)</f>
        <v>60.89</v>
      </c>
      <c r="C186" s="1">
        <f>IFERROR(__xludf.DUMMYFUNCTION("""COMPUTED_VALUE"""),62.19)</f>
        <v>62.19</v>
      </c>
      <c r="D186" s="1">
        <f>IFERROR(__xludf.DUMMYFUNCTION("""COMPUTED_VALUE"""),60.68)</f>
        <v>60.68</v>
      </c>
      <c r="E186" s="1">
        <f>IFERROR(__xludf.DUMMYFUNCTION("""COMPUTED_VALUE"""),61.79)</f>
        <v>61.79</v>
      </c>
      <c r="F186" s="1">
        <f>IFERROR(__xludf.DUMMYFUNCTION("""COMPUTED_VALUE"""),2.2890349E7)</f>
        <v>22890349</v>
      </c>
    </row>
    <row r="187">
      <c r="A187" s="2">
        <f>IFERROR(__xludf.DUMMYFUNCTION("""COMPUTED_VALUE"""),45560.58333333333)</f>
        <v>45560.58333</v>
      </c>
      <c r="B187" s="1">
        <f>IFERROR(__xludf.DUMMYFUNCTION("""COMPUTED_VALUE"""),61.4)</f>
        <v>61.4</v>
      </c>
      <c r="C187" s="1">
        <f>IFERROR(__xludf.DUMMYFUNCTION("""COMPUTED_VALUE"""),62.2)</f>
        <v>62.2</v>
      </c>
      <c r="D187" s="1">
        <f>IFERROR(__xludf.DUMMYFUNCTION("""COMPUTED_VALUE"""),60.52)</f>
        <v>60.52</v>
      </c>
      <c r="E187" s="1">
        <f>IFERROR(__xludf.DUMMYFUNCTION("""COMPUTED_VALUE"""),60.57)</f>
        <v>60.57</v>
      </c>
      <c r="F187" s="1">
        <f>IFERROR(__xludf.DUMMYFUNCTION("""COMPUTED_VALUE"""),2.3528806E7)</f>
        <v>23528806</v>
      </c>
    </row>
    <row r="188">
      <c r="A188" s="2">
        <f>IFERROR(__xludf.DUMMYFUNCTION("""COMPUTED_VALUE"""),45561.58333333333)</f>
        <v>45561.58333</v>
      </c>
      <c r="B188" s="1">
        <f>IFERROR(__xludf.DUMMYFUNCTION("""COMPUTED_VALUE"""),60.99)</f>
        <v>60.99</v>
      </c>
      <c r="C188" s="1">
        <f>IFERROR(__xludf.DUMMYFUNCTION("""COMPUTED_VALUE"""),61.46)</f>
        <v>61.46</v>
      </c>
      <c r="D188" s="1">
        <f>IFERROR(__xludf.DUMMYFUNCTION("""COMPUTED_VALUE"""),59.6)</f>
        <v>59.6</v>
      </c>
      <c r="E188" s="1">
        <f>IFERROR(__xludf.DUMMYFUNCTION("""COMPUTED_VALUE"""),59.61)</f>
        <v>59.61</v>
      </c>
      <c r="F188" s="1">
        <f>IFERROR(__xludf.DUMMYFUNCTION("""COMPUTED_VALUE"""),2.5936676E7)</f>
        <v>25936676</v>
      </c>
    </row>
    <row r="189">
      <c r="A189" s="2">
        <f>IFERROR(__xludf.DUMMYFUNCTION("""COMPUTED_VALUE"""),45562.58333333333)</f>
        <v>45562.58333</v>
      </c>
      <c r="B189" s="1">
        <f>IFERROR(__xludf.DUMMYFUNCTION("""COMPUTED_VALUE"""),59.8)</f>
        <v>59.8</v>
      </c>
      <c r="C189" s="1">
        <f>IFERROR(__xludf.DUMMYFUNCTION("""COMPUTED_VALUE"""),59.98)</f>
        <v>59.98</v>
      </c>
      <c r="D189" s="1">
        <f>IFERROR(__xludf.DUMMYFUNCTION("""COMPUTED_VALUE"""),58.04)</f>
        <v>58.04</v>
      </c>
      <c r="E189" s="1">
        <f>IFERROR(__xludf.DUMMYFUNCTION("""COMPUTED_VALUE"""),58.36)</f>
        <v>58.36</v>
      </c>
      <c r="F189" s="1">
        <f>IFERROR(__xludf.DUMMYFUNCTION("""COMPUTED_VALUE"""),3.884132E7)</f>
        <v>38841320</v>
      </c>
    </row>
    <row r="190">
      <c r="A190" s="2">
        <f>IFERROR(__xludf.DUMMYFUNCTION("""COMPUTED_VALUE"""),45565.58333333333)</f>
        <v>45565.58333</v>
      </c>
      <c r="B190" s="1">
        <f>IFERROR(__xludf.DUMMYFUNCTION("""COMPUTED_VALUE"""),58.36)</f>
        <v>58.36</v>
      </c>
      <c r="C190" s="1">
        <f>IFERROR(__xludf.DUMMYFUNCTION("""COMPUTED_VALUE"""),59.79)</f>
        <v>59.79</v>
      </c>
      <c r="D190" s="1">
        <f>IFERROR(__xludf.DUMMYFUNCTION("""COMPUTED_VALUE"""),58.2)</f>
        <v>58.2</v>
      </c>
      <c r="E190" s="1">
        <f>IFERROR(__xludf.DUMMYFUNCTION("""COMPUTED_VALUE"""),59.41)</f>
        <v>59.41</v>
      </c>
      <c r="F190" s="1">
        <f>IFERROR(__xludf.DUMMYFUNCTION("""COMPUTED_VALUE"""),3.5580943E7)</f>
        <v>35580943</v>
      </c>
    </row>
    <row r="191">
      <c r="A191" s="2">
        <f>IFERROR(__xludf.DUMMYFUNCTION("""COMPUTED_VALUE"""),45567.58333333333)</f>
        <v>45567.58333</v>
      </c>
      <c r="B191" s="1">
        <f>IFERROR(__xludf.DUMMYFUNCTION("""COMPUTED_VALUE"""),59.49)</f>
        <v>59.49</v>
      </c>
      <c r="C191" s="1">
        <f>IFERROR(__xludf.DUMMYFUNCTION("""COMPUTED_VALUE"""),59.96)</f>
        <v>59.96</v>
      </c>
      <c r="D191" s="1">
        <f>IFERROR(__xludf.DUMMYFUNCTION("""COMPUTED_VALUE"""),57.17)</f>
        <v>57.17</v>
      </c>
      <c r="E191" s="1">
        <f>IFERROR(__xludf.DUMMYFUNCTION("""COMPUTED_VALUE"""),57.61)</f>
        <v>57.61</v>
      </c>
      <c r="F191" s="1">
        <f>IFERROR(__xludf.DUMMYFUNCTION("""COMPUTED_VALUE"""),4.1262086E7)</f>
        <v>41262086</v>
      </c>
    </row>
    <row r="192">
      <c r="A192" s="2">
        <f>IFERROR(__xludf.DUMMYFUNCTION("""COMPUTED_VALUE"""),45568.58333333333)</f>
        <v>45568.58333</v>
      </c>
      <c r="B192" s="1">
        <f>IFERROR(__xludf.DUMMYFUNCTION("""COMPUTED_VALUE"""),58.1)</f>
        <v>58.1</v>
      </c>
      <c r="C192" s="1">
        <f>IFERROR(__xludf.DUMMYFUNCTION("""COMPUTED_VALUE"""),59.0)</f>
        <v>59</v>
      </c>
      <c r="D192" s="1">
        <f>IFERROR(__xludf.DUMMYFUNCTION("""COMPUTED_VALUE"""),57.44)</f>
        <v>57.44</v>
      </c>
      <c r="E192" s="1">
        <f>IFERROR(__xludf.DUMMYFUNCTION("""COMPUTED_VALUE"""),57.79)</f>
        <v>57.79</v>
      </c>
      <c r="F192" s="1">
        <f>IFERROR(__xludf.DUMMYFUNCTION("""COMPUTED_VALUE"""),2.6425083E7)</f>
        <v>26425083</v>
      </c>
    </row>
    <row r="193">
      <c r="A193" s="2">
        <f>IFERROR(__xludf.DUMMYFUNCTION("""COMPUTED_VALUE"""),45569.58333333333)</f>
        <v>45569.58333</v>
      </c>
      <c r="B193" s="1">
        <f>IFERROR(__xludf.DUMMYFUNCTION("""COMPUTED_VALUE"""),57.87)</f>
        <v>57.87</v>
      </c>
      <c r="C193" s="1">
        <f>IFERROR(__xludf.DUMMYFUNCTION("""COMPUTED_VALUE"""),59.39)</f>
        <v>59.39</v>
      </c>
      <c r="D193" s="1">
        <f>IFERROR(__xludf.DUMMYFUNCTION("""COMPUTED_VALUE"""),57.79)</f>
        <v>57.79</v>
      </c>
      <c r="E193" s="1">
        <f>IFERROR(__xludf.DUMMYFUNCTION("""COMPUTED_VALUE"""),58.99)</f>
        <v>58.99</v>
      </c>
      <c r="F193" s="1">
        <f>IFERROR(__xludf.DUMMYFUNCTION("""COMPUTED_VALUE"""),2.8243559E7)</f>
        <v>28243559</v>
      </c>
    </row>
    <row r="194">
      <c r="A194" s="2">
        <f>IFERROR(__xludf.DUMMYFUNCTION("""COMPUTED_VALUE"""),45572.58333333333)</f>
        <v>45572.58333</v>
      </c>
      <c r="B194" s="1">
        <f>IFERROR(__xludf.DUMMYFUNCTION("""COMPUTED_VALUE"""),58.63)</f>
        <v>58.63</v>
      </c>
      <c r="C194" s="1">
        <f>IFERROR(__xludf.DUMMYFUNCTION("""COMPUTED_VALUE"""),59.49)</f>
        <v>59.49</v>
      </c>
      <c r="D194" s="1">
        <f>IFERROR(__xludf.DUMMYFUNCTION("""COMPUTED_VALUE"""),57.72)</f>
        <v>57.72</v>
      </c>
      <c r="E194" s="1">
        <f>IFERROR(__xludf.DUMMYFUNCTION("""COMPUTED_VALUE"""),57.92)</f>
        <v>57.92</v>
      </c>
      <c r="F194" s="1">
        <f>IFERROR(__xludf.DUMMYFUNCTION("""COMPUTED_VALUE"""),1.5672303E7)</f>
        <v>15672303</v>
      </c>
    </row>
    <row r="195">
      <c r="A195" s="2">
        <f>IFERROR(__xludf.DUMMYFUNCTION("""COMPUTED_VALUE"""),45573.58333333333)</f>
        <v>45573.58333</v>
      </c>
      <c r="B195" s="1">
        <f>IFERROR(__xludf.DUMMYFUNCTION("""COMPUTED_VALUE"""),58.18)</f>
        <v>58.18</v>
      </c>
      <c r="C195" s="1">
        <f>IFERROR(__xludf.DUMMYFUNCTION("""COMPUTED_VALUE"""),58.38)</f>
        <v>58.38</v>
      </c>
      <c r="D195" s="1">
        <f>IFERROR(__xludf.DUMMYFUNCTION("""COMPUTED_VALUE"""),56.08)</f>
        <v>56.08</v>
      </c>
      <c r="E195" s="1">
        <f>IFERROR(__xludf.DUMMYFUNCTION("""COMPUTED_VALUE"""),56.99)</f>
        <v>56.99</v>
      </c>
      <c r="F195" s="1">
        <f>IFERROR(__xludf.DUMMYFUNCTION("""COMPUTED_VALUE"""),2.935629E7)</f>
        <v>29356290</v>
      </c>
    </row>
    <row r="196">
      <c r="A196" s="2">
        <f>IFERROR(__xludf.DUMMYFUNCTION("""COMPUTED_VALUE"""),45574.58333333333)</f>
        <v>45574.58333</v>
      </c>
      <c r="B196" s="1">
        <f>IFERROR(__xludf.DUMMYFUNCTION("""COMPUTED_VALUE"""),57.0)</f>
        <v>57</v>
      </c>
      <c r="C196" s="1">
        <f>IFERROR(__xludf.DUMMYFUNCTION("""COMPUTED_VALUE"""),57.29)</f>
        <v>57.29</v>
      </c>
      <c r="D196" s="1">
        <f>IFERROR(__xludf.DUMMYFUNCTION("""COMPUTED_VALUE"""),56.19)</f>
        <v>56.19</v>
      </c>
      <c r="E196" s="1">
        <f>IFERROR(__xludf.DUMMYFUNCTION("""COMPUTED_VALUE"""),56.57)</f>
        <v>56.57</v>
      </c>
      <c r="F196" s="1">
        <f>IFERROR(__xludf.DUMMYFUNCTION("""COMPUTED_VALUE"""),2.0801023E7)</f>
        <v>20801023</v>
      </c>
    </row>
    <row r="197">
      <c r="A197" s="2">
        <f>IFERROR(__xludf.DUMMYFUNCTION("""COMPUTED_VALUE"""),45575.58333333333)</f>
        <v>45575.58333</v>
      </c>
      <c r="B197" s="1">
        <f>IFERROR(__xludf.DUMMYFUNCTION("""COMPUTED_VALUE"""),56.69)</f>
        <v>56.69</v>
      </c>
      <c r="C197" s="1">
        <f>IFERROR(__xludf.DUMMYFUNCTION("""COMPUTED_VALUE"""),59.67)</f>
        <v>59.67</v>
      </c>
      <c r="D197" s="1">
        <f>IFERROR(__xludf.DUMMYFUNCTION("""COMPUTED_VALUE"""),56.2)</f>
        <v>56.2</v>
      </c>
      <c r="E197" s="1">
        <f>IFERROR(__xludf.DUMMYFUNCTION("""COMPUTED_VALUE"""),59.66)</f>
        <v>59.66</v>
      </c>
      <c r="F197" s="1">
        <f>IFERROR(__xludf.DUMMYFUNCTION("""COMPUTED_VALUE"""),2.2053576E7)</f>
        <v>22053576</v>
      </c>
    </row>
    <row r="198">
      <c r="A198" s="2">
        <f>IFERROR(__xludf.DUMMYFUNCTION("""COMPUTED_VALUE"""),45579.58333333333)</f>
        <v>45579.58333</v>
      </c>
      <c r="B198" s="1">
        <f>IFERROR(__xludf.DUMMYFUNCTION("""COMPUTED_VALUE"""),59.4)</f>
        <v>59.4</v>
      </c>
      <c r="C198" s="1">
        <f>IFERROR(__xludf.DUMMYFUNCTION("""COMPUTED_VALUE"""),59.4)</f>
        <v>59.4</v>
      </c>
      <c r="D198" s="1">
        <f>IFERROR(__xludf.DUMMYFUNCTION("""COMPUTED_VALUE"""),58.24)</f>
        <v>58.24</v>
      </c>
      <c r="E198" s="1">
        <f>IFERROR(__xludf.DUMMYFUNCTION("""COMPUTED_VALUE"""),58.71)</f>
        <v>58.71</v>
      </c>
      <c r="F198" s="1">
        <f>IFERROR(__xludf.DUMMYFUNCTION("""COMPUTED_VALUE"""),1.6243179E7)</f>
        <v>16243179</v>
      </c>
    </row>
    <row r="199">
      <c r="A199" s="2">
        <f>IFERROR(__xludf.DUMMYFUNCTION("""COMPUTED_VALUE"""),45580.58333333333)</f>
        <v>45580.58333</v>
      </c>
      <c r="B199" s="1">
        <f>IFERROR(__xludf.DUMMYFUNCTION("""COMPUTED_VALUE"""),58.99)</f>
        <v>58.99</v>
      </c>
      <c r="C199" s="1">
        <f>IFERROR(__xludf.DUMMYFUNCTION("""COMPUTED_VALUE"""),59.13)</f>
        <v>59.13</v>
      </c>
      <c r="D199" s="1">
        <f>IFERROR(__xludf.DUMMYFUNCTION("""COMPUTED_VALUE"""),58.0)</f>
        <v>58</v>
      </c>
      <c r="E199" s="1">
        <f>IFERROR(__xludf.DUMMYFUNCTION("""COMPUTED_VALUE"""),59.04)</f>
        <v>59.04</v>
      </c>
      <c r="F199" s="1">
        <f>IFERROR(__xludf.DUMMYFUNCTION("""COMPUTED_VALUE"""),2.1638119E7)</f>
        <v>21638119</v>
      </c>
    </row>
    <row r="200">
      <c r="A200" s="2">
        <f>IFERROR(__xludf.DUMMYFUNCTION("""COMPUTED_VALUE"""),45581.58333333333)</f>
        <v>45581.58333</v>
      </c>
      <c r="B200" s="1">
        <f>IFERROR(__xludf.DUMMYFUNCTION("""COMPUTED_VALUE"""),58.78)</f>
        <v>58.78</v>
      </c>
      <c r="C200" s="1">
        <f>IFERROR(__xludf.DUMMYFUNCTION("""COMPUTED_VALUE"""),59.17)</f>
        <v>59.17</v>
      </c>
      <c r="D200" s="1">
        <f>IFERROR(__xludf.DUMMYFUNCTION("""COMPUTED_VALUE"""),58.21)</f>
        <v>58.21</v>
      </c>
      <c r="E200" s="1">
        <f>IFERROR(__xludf.DUMMYFUNCTION("""COMPUTED_VALUE"""),59.14)</f>
        <v>59.14</v>
      </c>
      <c r="F200" s="1">
        <f>IFERROR(__xludf.DUMMYFUNCTION("""COMPUTED_VALUE"""),1.9861384E7)</f>
        <v>19861384</v>
      </c>
    </row>
    <row r="201">
      <c r="A201" s="2">
        <f>IFERROR(__xludf.DUMMYFUNCTION("""COMPUTED_VALUE"""),45582.58333333333)</f>
        <v>45582.58333</v>
      </c>
      <c r="B201" s="1">
        <f>IFERROR(__xludf.DUMMYFUNCTION("""COMPUTED_VALUE"""),58.61)</f>
        <v>58.61</v>
      </c>
      <c r="C201" s="1">
        <f>IFERROR(__xludf.DUMMYFUNCTION("""COMPUTED_VALUE"""),60.0)</f>
        <v>60</v>
      </c>
      <c r="D201" s="1">
        <f>IFERROR(__xludf.DUMMYFUNCTION("""COMPUTED_VALUE"""),58.61)</f>
        <v>58.61</v>
      </c>
      <c r="E201" s="1">
        <f>IFERROR(__xludf.DUMMYFUNCTION("""COMPUTED_VALUE"""),59.52)</f>
        <v>59.52</v>
      </c>
      <c r="F201" s="1">
        <f>IFERROR(__xludf.DUMMYFUNCTION("""COMPUTED_VALUE"""),1.4165991E7)</f>
        <v>14165991</v>
      </c>
    </row>
    <row r="202">
      <c r="A202" s="2">
        <f>IFERROR(__xludf.DUMMYFUNCTION("""COMPUTED_VALUE"""),45583.58333333333)</f>
        <v>45583.58333</v>
      </c>
      <c r="B202" s="1">
        <f>IFERROR(__xludf.DUMMYFUNCTION("""COMPUTED_VALUE"""),59.5)</f>
        <v>59.5</v>
      </c>
      <c r="C202" s="1">
        <f>IFERROR(__xludf.DUMMYFUNCTION("""COMPUTED_VALUE"""),59.93)</f>
        <v>59.93</v>
      </c>
      <c r="D202" s="1">
        <f>IFERROR(__xludf.DUMMYFUNCTION("""COMPUTED_VALUE"""),59.41)</f>
        <v>59.41</v>
      </c>
      <c r="E202" s="1">
        <f>IFERROR(__xludf.DUMMYFUNCTION("""COMPUTED_VALUE"""),59.78)</f>
        <v>59.78</v>
      </c>
      <c r="F202" s="1">
        <f>IFERROR(__xludf.DUMMYFUNCTION("""COMPUTED_VALUE"""),1.4467382E7)</f>
        <v>14467382</v>
      </c>
    </row>
    <row r="203">
      <c r="A203" s="2">
        <f>IFERROR(__xludf.DUMMYFUNCTION("""COMPUTED_VALUE"""),45586.58333333333)</f>
        <v>45586.58333</v>
      </c>
      <c r="B203" s="1">
        <f>IFERROR(__xludf.DUMMYFUNCTION("""COMPUTED_VALUE"""),60.0)</f>
        <v>60</v>
      </c>
      <c r="C203" s="1">
        <f>IFERROR(__xludf.DUMMYFUNCTION("""COMPUTED_VALUE"""),60.19)</f>
        <v>60.19</v>
      </c>
      <c r="D203" s="1">
        <f>IFERROR(__xludf.DUMMYFUNCTION("""COMPUTED_VALUE"""),59.21)</f>
        <v>59.21</v>
      </c>
      <c r="E203" s="1">
        <f>IFERROR(__xludf.DUMMYFUNCTION("""COMPUTED_VALUE"""),60.1)</f>
        <v>60.1</v>
      </c>
      <c r="F203" s="1">
        <f>IFERROR(__xludf.DUMMYFUNCTION("""COMPUTED_VALUE"""),1.7625945E7)</f>
        <v>17625945</v>
      </c>
    </row>
    <row r="204">
      <c r="A204" s="2">
        <f>IFERROR(__xludf.DUMMYFUNCTION("""COMPUTED_VALUE"""),45587.58333333333)</f>
        <v>45587.58333</v>
      </c>
      <c r="B204" s="1">
        <f>IFERROR(__xludf.DUMMYFUNCTION("""COMPUTED_VALUE"""),60.0)</f>
        <v>60</v>
      </c>
      <c r="C204" s="1">
        <f>IFERROR(__xludf.DUMMYFUNCTION("""COMPUTED_VALUE"""),60.49)</f>
        <v>60.49</v>
      </c>
      <c r="D204" s="1">
        <f>IFERROR(__xludf.DUMMYFUNCTION("""COMPUTED_VALUE"""),59.5)</f>
        <v>59.5</v>
      </c>
      <c r="E204" s="1">
        <f>IFERROR(__xludf.DUMMYFUNCTION("""COMPUTED_VALUE"""),60.48)</f>
        <v>60.48</v>
      </c>
      <c r="F204" s="1">
        <f>IFERROR(__xludf.DUMMYFUNCTION("""COMPUTED_VALUE"""),2.3344282E7)</f>
        <v>23344282</v>
      </c>
    </row>
    <row r="205">
      <c r="A205" s="2">
        <f>IFERROR(__xludf.DUMMYFUNCTION("""COMPUTED_VALUE"""),45588.58333333333)</f>
        <v>45588.58333</v>
      </c>
      <c r="B205" s="1">
        <f>IFERROR(__xludf.DUMMYFUNCTION("""COMPUTED_VALUE"""),59.71)</f>
        <v>59.71</v>
      </c>
      <c r="C205" s="1">
        <f>IFERROR(__xludf.DUMMYFUNCTION("""COMPUTED_VALUE"""),61.75)</f>
        <v>61.75</v>
      </c>
      <c r="D205" s="1">
        <f>IFERROR(__xludf.DUMMYFUNCTION("""COMPUTED_VALUE"""),59.71)</f>
        <v>59.71</v>
      </c>
      <c r="E205" s="1">
        <f>IFERROR(__xludf.DUMMYFUNCTION("""COMPUTED_VALUE"""),61.4)</f>
        <v>61.4</v>
      </c>
      <c r="F205" s="1">
        <f>IFERROR(__xludf.DUMMYFUNCTION("""COMPUTED_VALUE"""),4.1208127E7)</f>
        <v>41208127</v>
      </c>
    </row>
    <row r="206">
      <c r="A206" s="2">
        <f>IFERROR(__xludf.DUMMYFUNCTION("""COMPUTED_VALUE"""),45589.58333333333)</f>
        <v>45589.58333</v>
      </c>
      <c r="B206" s="1">
        <f>IFERROR(__xludf.DUMMYFUNCTION("""COMPUTED_VALUE"""),61.23)</f>
        <v>61.23</v>
      </c>
      <c r="C206" s="1">
        <f>IFERROR(__xludf.DUMMYFUNCTION("""COMPUTED_VALUE"""),61.23)</f>
        <v>61.23</v>
      </c>
      <c r="D206" s="1">
        <f>IFERROR(__xludf.DUMMYFUNCTION("""COMPUTED_VALUE"""),58.88)</f>
        <v>58.88</v>
      </c>
      <c r="E206" s="1">
        <f>IFERROR(__xludf.DUMMYFUNCTION("""COMPUTED_VALUE"""),59.15)</f>
        <v>59.15</v>
      </c>
      <c r="F206" s="1">
        <f>IFERROR(__xludf.DUMMYFUNCTION("""COMPUTED_VALUE"""),4.1535192E7)</f>
        <v>41535192</v>
      </c>
    </row>
    <row r="207">
      <c r="A207" s="2">
        <f>IFERROR(__xludf.DUMMYFUNCTION("""COMPUTED_VALUE"""),45590.58333333333)</f>
        <v>45590.58333</v>
      </c>
      <c r="B207" s="1">
        <f>IFERROR(__xludf.DUMMYFUNCTION("""COMPUTED_VALUE"""),59.29)</f>
        <v>59.29</v>
      </c>
      <c r="C207" s="1">
        <f>IFERROR(__xludf.DUMMYFUNCTION("""COMPUTED_VALUE"""),59.29)</f>
        <v>59.29</v>
      </c>
      <c r="D207" s="1">
        <f>IFERROR(__xludf.DUMMYFUNCTION("""COMPUTED_VALUE"""),56.9)</f>
        <v>56.9</v>
      </c>
      <c r="E207" s="1">
        <f>IFERROR(__xludf.DUMMYFUNCTION("""COMPUTED_VALUE"""),57.03)</f>
        <v>57.03</v>
      </c>
      <c r="F207" s="1">
        <f>IFERROR(__xludf.DUMMYFUNCTION("""COMPUTED_VALUE"""),2.5267585E7)</f>
        <v>25267585</v>
      </c>
    </row>
    <row r="208">
      <c r="A208" s="2">
        <f>IFERROR(__xludf.DUMMYFUNCTION("""COMPUTED_VALUE"""),45593.58333333333)</f>
        <v>45593.58333</v>
      </c>
      <c r="B208" s="1">
        <f>IFERROR(__xludf.DUMMYFUNCTION("""COMPUTED_VALUE"""),57.37)</f>
        <v>57.37</v>
      </c>
      <c r="C208" s="1">
        <f>IFERROR(__xludf.DUMMYFUNCTION("""COMPUTED_VALUE"""),57.47)</f>
        <v>57.47</v>
      </c>
      <c r="D208" s="1">
        <f>IFERROR(__xludf.DUMMYFUNCTION("""COMPUTED_VALUE"""),55.92)</f>
        <v>55.92</v>
      </c>
      <c r="E208" s="1">
        <f>IFERROR(__xludf.DUMMYFUNCTION("""COMPUTED_VALUE"""),57.07)</f>
        <v>57.07</v>
      </c>
      <c r="F208" s="1">
        <f>IFERROR(__xludf.DUMMYFUNCTION("""COMPUTED_VALUE"""),1.8370254E7)</f>
        <v>18370254</v>
      </c>
    </row>
    <row r="209">
      <c r="A209" s="2">
        <f>IFERROR(__xludf.DUMMYFUNCTION("""COMPUTED_VALUE"""),45594.58333333333)</f>
        <v>45594.58333</v>
      </c>
      <c r="B209" s="1">
        <f>IFERROR(__xludf.DUMMYFUNCTION("""COMPUTED_VALUE"""),56.96)</f>
        <v>56.96</v>
      </c>
      <c r="C209" s="1">
        <f>IFERROR(__xludf.DUMMYFUNCTION("""COMPUTED_VALUE"""),57.5)</f>
        <v>57.5</v>
      </c>
      <c r="D209" s="1">
        <f>IFERROR(__xludf.DUMMYFUNCTION("""COMPUTED_VALUE"""),55.83)</f>
        <v>55.83</v>
      </c>
      <c r="E209" s="1">
        <f>IFERROR(__xludf.DUMMYFUNCTION("""COMPUTED_VALUE"""),55.86)</f>
        <v>55.86</v>
      </c>
      <c r="F209" s="1">
        <f>IFERROR(__xludf.DUMMYFUNCTION("""COMPUTED_VALUE"""),2.7792491E7)</f>
        <v>27792491</v>
      </c>
    </row>
    <row r="210">
      <c r="A210" s="2">
        <f>IFERROR(__xludf.DUMMYFUNCTION("""COMPUTED_VALUE"""),45595.58333333333)</f>
        <v>45595.58333</v>
      </c>
      <c r="B210" s="1">
        <f>IFERROR(__xludf.DUMMYFUNCTION("""COMPUTED_VALUE"""),55.99)</f>
        <v>55.99</v>
      </c>
      <c r="C210" s="1">
        <f>IFERROR(__xludf.DUMMYFUNCTION("""COMPUTED_VALUE"""),56.23)</f>
        <v>56.23</v>
      </c>
      <c r="D210" s="1">
        <f>IFERROR(__xludf.DUMMYFUNCTION("""COMPUTED_VALUE"""),54.69)</f>
        <v>54.69</v>
      </c>
      <c r="E210" s="1">
        <f>IFERROR(__xludf.DUMMYFUNCTION("""COMPUTED_VALUE"""),55.1)</f>
        <v>55.1</v>
      </c>
      <c r="F210" s="1">
        <f>IFERROR(__xludf.DUMMYFUNCTION("""COMPUTED_VALUE"""),2.937807E7)</f>
        <v>29378070</v>
      </c>
    </row>
    <row r="211">
      <c r="A211" s="2">
        <f>IFERROR(__xludf.DUMMYFUNCTION("""COMPUTED_VALUE"""),45596.58333333333)</f>
        <v>45596.58333</v>
      </c>
      <c r="B211" s="1">
        <f>IFERROR(__xludf.DUMMYFUNCTION("""COMPUTED_VALUE"""),55.13)</f>
        <v>55.13</v>
      </c>
      <c r="C211" s="1">
        <f>IFERROR(__xludf.DUMMYFUNCTION("""COMPUTED_VALUE"""),55.71)</f>
        <v>55.71</v>
      </c>
      <c r="D211" s="1">
        <f>IFERROR(__xludf.DUMMYFUNCTION("""COMPUTED_VALUE"""),54.8)</f>
        <v>54.8</v>
      </c>
      <c r="E211" s="1">
        <f>IFERROR(__xludf.DUMMYFUNCTION("""COMPUTED_VALUE"""),55.25)</f>
        <v>55.25</v>
      </c>
      <c r="F211" s="1">
        <f>IFERROR(__xludf.DUMMYFUNCTION("""COMPUTED_VALUE"""),3.4064556E7)</f>
        <v>34064556</v>
      </c>
    </row>
    <row r="212">
      <c r="A212" s="2">
        <f>IFERROR(__xludf.DUMMYFUNCTION("""COMPUTED_VALUE"""),45597.58333333333)</f>
        <v>45597.58333</v>
      </c>
      <c r="B212" s="1">
        <f>IFERROR(__xludf.DUMMYFUNCTION("""COMPUTED_VALUE"""),55.38)</f>
        <v>55.38</v>
      </c>
      <c r="C212" s="1">
        <f>IFERROR(__xludf.DUMMYFUNCTION("""COMPUTED_VALUE"""),56.6)</f>
        <v>56.6</v>
      </c>
      <c r="D212" s="1">
        <f>IFERROR(__xludf.DUMMYFUNCTION("""COMPUTED_VALUE"""),54.76)</f>
        <v>54.76</v>
      </c>
      <c r="E212" s="1">
        <f>IFERROR(__xludf.DUMMYFUNCTION("""COMPUTED_VALUE"""),55.85)</f>
        <v>55.85</v>
      </c>
      <c r="F212" s="1">
        <f>IFERROR(__xludf.DUMMYFUNCTION("""COMPUTED_VALUE"""),2.4175088E7)</f>
        <v>24175088</v>
      </c>
    </row>
    <row r="213">
      <c r="A213" s="2">
        <f>IFERROR(__xludf.DUMMYFUNCTION("""COMPUTED_VALUE"""),45600.625)</f>
        <v>45600.625</v>
      </c>
      <c r="B213" s="1">
        <f>IFERROR(__xludf.DUMMYFUNCTION("""COMPUTED_VALUE"""),56.0)</f>
        <v>56</v>
      </c>
      <c r="C213" s="1">
        <f>IFERROR(__xludf.DUMMYFUNCTION("""COMPUTED_VALUE"""),56.49)</f>
        <v>56.49</v>
      </c>
      <c r="D213" s="1">
        <f>IFERROR(__xludf.DUMMYFUNCTION("""COMPUTED_VALUE"""),55.35)</f>
        <v>55.35</v>
      </c>
      <c r="E213" s="1">
        <f>IFERROR(__xludf.DUMMYFUNCTION("""COMPUTED_VALUE"""),56.4)</f>
        <v>56.4</v>
      </c>
      <c r="F213" s="1">
        <f>IFERROR(__xludf.DUMMYFUNCTION("""COMPUTED_VALUE"""),2.0999816E7)</f>
        <v>20999816</v>
      </c>
    </row>
    <row r="214">
      <c r="A214" s="2">
        <f>IFERROR(__xludf.DUMMYFUNCTION("""COMPUTED_VALUE"""),45601.625)</f>
        <v>45601.625</v>
      </c>
      <c r="B214" s="1">
        <f>IFERROR(__xludf.DUMMYFUNCTION("""COMPUTED_VALUE"""),56.36)</f>
        <v>56.36</v>
      </c>
      <c r="C214" s="1">
        <f>IFERROR(__xludf.DUMMYFUNCTION("""COMPUTED_VALUE"""),56.41)</f>
        <v>56.41</v>
      </c>
      <c r="D214" s="1">
        <f>IFERROR(__xludf.DUMMYFUNCTION("""COMPUTED_VALUE"""),55.0)</f>
        <v>55</v>
      </c>
      <c r="E214" s="1">
        <f>IFERROR(__xludf.DUMMYFUNCTION("""COMPUTED_VALUE"""),55.77)</f>
        <v>55.77</v>
      </c>
      <c r="F214" s="1">
        <f>IFERROR(__xludf.DUMMYFUNCTION("""COMPUTED_VALUE"""),2.2440922E7)</f>
        <v>22440922</v>
      </c>
    </row>
    <row r="215">
      <c r="A215" s="2">
        <f>IFERROR(__xludf.DUMMYFUNCTION("""COMPUTED_VALUE"""),45602.625)</f>
        <v>45602.625</v>
      </c>
      <c r="B215" s="1">
        <f>IFERROR(__xludf.DUMMYFUNCTION("""COMPUTED_VALUE"""),55.88)</f>
        <v>55.88</v>
      </c>
      <c r="C215" s="1">
        <f>IFERROR(__xludf.DUMMYFUNCTION("""COMPUTED_VALUE"""),56.28)</f>
        <v>56.28</v>
      </c>
      <c r="D215" s="1">
        <f>IFERROR(__xludf.DUMMYFUNCTION("""COMPUTED_VALUE"""),54.01)</f>
        <v>54.01</v>
      </c>
      <c r="E215" s="1">
        <f>IFERROR(__xludf.DUMMYFUNCTION("""COMPUTED_VALUE"""),56.0)</f>
        <v>56</v>
      </c>
      <c r="F215" s="1">
        <f>IFERROR(__xludf.DUMMYFUNCTION("""COMPUTED_VALUE"""),3.7947898E7)</f>
        <v>37947898</v>
      </c>
    </row>
    <row r="216">
      <c r="A216" s="2">
        <f>IFERROR(__xludf.DUMMYFUNCTION("""COMPUTED_VALUE"""),45603.625)</f>
        <v>45603.625</v>
      </c>
      <c r="B216" s="1">
        <f>IFERROR(__xludf.DUMMYFUNCTION("""COMPUTED_VALUE"""),56.29)</f>
        <v>56.29</v>
      </c>
      <c r="C216" s="1">
        <f>IFERROR(__xludf.DUMMYFUNCTION("""COMPUTED_VALUE"""),56.48)</f>
        <v>56.48</v>
      </c>
      <c r="D216" s="1">
        <f>IFERROR(__xludf.DUMMYFUNCTION("""COMPUTED_VALUE"""),55.7)</f>
        <v>55.7</v>
      </c>
      <c r="E216" s="1">
        <f>IFERROR(__xludf.DUMMYFUNCTION("""COMPUTED_VALUE"""),56.23)</f>
        <v>56.23</v>
      </c>
      <c r="F216" s="1">
        <f>IFERROR(__xludf.DUMMYFUNCTION("""COMPUTED_VALUE"""),3.146323E7)</f>
        <v>31463230</v>
      </c>
    </row>
    <row r="217">
      <c r="A217" s="2">
        <f>IFERROR(__xludf.DUMMYFUNCTION("""COMPUTED_VALUE"""),45604.625)</f>
        <v>45604.625</v>
      </c>
      <c r="B217" s="1">
        <f>IFERROR(__xludf.DUMMYFUNCTION("""COMPUTED_VALUE"""),55.95)</f>
        <v>55.95</v>
      </c>
      <c r="C217" s="1">
        <f>IFERROR(__xludf.DUMMYFUNCTION("""COMPUTED_VALUE"""),56.56)</f>
        <v>56.56</v>
      </c>
      <c r="D217" s="1">
        <f>IFERROR(__xludf.DUMMYFUNCTION("""COMPUTED_VALUE"""),55.41)</f>
        <v>55.41</v>
      </c>
      <c r="E217" s="1">
        <f>IFERROR(__xludf.DUMMYFUNCTION("""COMPUTED_VALUE"""),56.1)</f>
        <v>56.1</v>
      </c>
      <c r="F217" s="1">
        <f>IFERROR(__xludf.DUMMYFUNCTION("""COMPUTED_VALUE"""),2.10842E7)</f>
        <v>21084200</v>
      </c>
    </row>
    <row r="218">
      <c r="A218" s="2">
        <f>IFERROR(__xludf.DUMMYFUNCTION("""COMPUTED_VALUE"""),45607.625)</f>
        <v>45607.625</v>
      </c>
      <c r="B218" s="1">
        <f>IFERROR(__xludf.DUMMYFUNCTION("""COMPUTED_VALUE"""),55.95)</f>
        <v>55.95</v>
      </c>
      <c r="C218" s="1">
        <f>IFERROR(__xludf.DUMMYFUNCTION("""COMPUTED_VALUE"""),55.95)</f>
        <v>55.95</v>
      </c>
      <c r="D218" s="1">
        <f>IFERROR(__xludf.DUMMYFUNCTION("""COMPUTED_VALUE"""),55.02)</f>
        <v>55.02</v>
      </c>
      <c r="E218" s="1">
        <f>IFERROR(__xludf.DUMMYFUNCTION("""COMPUTED_VALUE"""),55.38)</f>
        <v>55.38</v>
      </c>
      <c r="F218" s="1">
        <f>IFERROR(__xludf.DUMMYFUNCTION("""COMPUTED_VALUE"""),1.5952094E7)</f>
        <v>15952094</v>
      </c>
    </row>
    <row r="219">
      <c r="A219" s="2">
        <f>IFERROR(__xludf.DUMMYFUNCTION("""COMPUTED_VALUE"""),45608.625)</f>
        <v>45608.625</v>
      </c>
      <c r="B219" s="1">
        <f>IFERROR(__xludf.DUMMYFUNCTION("""COMPUTED_VALUE"""),55.28)</f>
        <v>55.28</v>
      </c>
      <c r="C219" s="1">
        <f>IFERROR(__xludf.DUMMYFUNCTION("""COMPUTED_VALUE"""),56.09)</f>
        <v>56.09</v>
      </c>
      <c r="D219" s="1">
        <f>IFERROR(__xludf.DUMMYFUNCTION("""COMPUTED_VALUE"""),55.09)</f>
        <v>55.09</v>
      </c>
      <c r="E219" s="1">
        <f>IFERROR(__xludf.DUMMYFUNCTION("""COMPUTED_VALUE"""),55.73)</f>
        <v>55.73</v>
      </c>
      <c r="F219" s="1">
        <f>IFERROR(__xludf.DUMMYFUNCTION("""COMPUTED_VALUE"""),2.1379618E7)</f>
        <v>21379618</v>
      </c>
    </row>
    <row r="220">
      <c r="A220" s="2">
        <f>IFERROR(__xludf.DUMMYFUNCTION("""COMPUTED_VALUE"""),45609.625)</f>
        <v>45609.625</v>
      </c>
      <c r="B220" s="1">
        <f>IFERROR(__xludf.DUMMYFUNCTION("""COMPUTED_VALUE"""),55.86)</f>
        <v>55.86</v>
      </c>
      <c r="C220" s="1">
        <f>IFERROR(__xludf.DUMMYFUNCTION("""COMPUTED_VALUE"""),56.5)</f>
        <v>56.5</v>
      </c>
      <c r="D220" s="1">
        <f>IFERROR(__xludf.DUMMYFUNCTION("""COMPUTED_VALUE"""),55.2)</f>
        <v>55.2</v>
      </c>
      <c r="E220" s="1">
        <f>IFERROR(__xludf.DUMMYFUNCTION("""COMPUTED_VALUE"""),56.46)</f>
        <v>56.46</v>
      </c>
      <c r="F220" s="1">
        <f>IFERROR(__xludf.DUMMYFUNCTION("""COMPUTED_VALUE"""),2.0070228E7)</f>
        <v>20070228</v>
      </c>
    </row>
    <row r="221">
      <c r="A221" s="2">
        <f>IFERROR(__xludf.DUMMYFUNCTION("""COMPUTED_VALUE"""),45610.625)</f>
        <v>45610.625</v>
      </c>
      <c r="B221" s="1">
        <f>IFERROR(__xludf.DUMMYFUNCTION("""COMPUTED_VALUE"""),56.63)</f>
        <v>56.63</v>
      </c>
      <c r="C221" s="1">
        <f>IFERROR(__xludf.DUMMYFUNCTION("""COMPUTED_VALUE"""),56.7)</f>
        <v>56.7</v>
      </c>
      <c r="D221" s="1">
        <f>IFERROR(__xludf.DUMMYFUNCTION("""COMPUTED_VALUE"""),54.8)</f>
        <v>54.8</v>
      </c>
      <c r="E221" s="1">
        <f>IFERROR(__xludf.DUMMYFUNCTION("""COMPUTED_VALUE"""),54.95)</f>
        <v>54.95</v>
      </c>
      <c r="F221" s="1">
        <f>IFERROR(__xludf.DUMMYFUNCTION("""COMPUTED_VALUE"""),2.1665319E7)</f>
        <v>21665319</v>
      </c>
    </row>
    <row r="222">
      <c r="A222" s="2">
        <f>IFERROR(__xludf.DUMMYFUNCTION("""COMPUTED_VALUE"""),45611.625)</f>
        <v>45611.625</v>
      </c>
      <c r="B222" s="1">
        <f>IFERROR(__xludf.DUMMYFUNCTION("""COMPUTED_VALUE"""),55.39)</f>
        <v>55.39</v>
      </c>
      <c r="C222" s="1">
        <f>IFERROR(__xludf.DUMMYFUNCTION("""COMPUTED_VALUE"""),55.44)</f>
        <v>55.44</v>
      </c>
      <c r="D222" s="1">
        <f>IFERROR(__xludf.DUMMYFUNCTION("""COMPUTED_VALUE"""),54.81)</f>
        <v>54.81</v>
      </c>
      <c r="E222" s="1">
        <f>IFERROR(__xludf.DUMMYFUNCTION("""COMPUTED_VALUE"""),55.06)</f>
        <v>55.06</v>
      </c>
      <c r="F222" s="1">
        <f>IFERROR(__xludf.DUMMYFUNCTION("""COMPUTED_VALUE"""),1.4505205E7)</f>
        <v>14505205</v>
      </c>
    </row>
    <row r="223">
      <c r="A223" s="2">
        <f>IFERROR(__xludf.DUMMYFUNCTION("""COMPUTED_VALUE"""),45615.625)</f>
        <v>45615.625</v>
      </c>
      <c r="B223" s="1">
        <f>IFERROR(__xludf.DUMMYFUNCTION("""COMPUTED_VALUE"""),55.0)</f>
        <v>55</v>
      </c>
      <c r="C223" s="1">
        <f>IFERROR(__xludf.DUMMYFUNCTION("""COMPUTED_VALUE"""),55.39)</f>
        <v>55.39</v>
      </c>
      <c r="D223" s="1">
        <f>IFERROR(__xludf.DUMMYFUNCTION("""COMPUTED_VALUE"""),53.64)</f>
        <v>53.64</v>
      </c>
      <c r="E223" s="1">
        <f>IFERROR(__xludf.DUMMYFUNCTION("""COMPUTED_VALUE"""),53.76)</f>
        <v>53.76</v>
      </c>
      <c r="F223" s="1">
        <f>IFERROR(__xludf.DUMMYFUNCTION("""COMPUTED_VALUE"""),1.9923574E7)</f>
        <v>19923574</v>
      </c>
    </row>
    <row r="224">
      <c r="A224" s="2">
        <f>IFERROR(__xludf.DUMMYFUNCTION("""COMPUTED_VALUE"""),45616.625)</f>
        <v>45616.625</v>
      </c>
      <c r="B224" s="1">
        <f>IFERROR(__xludf.DUMMYFUNCTION("""COMPUTED_VALUE"""),53.9)</f>
        <v>53.9</v>
      </c>
      <c r="C224" s="1">
        <f>IFERROR(__xludf.DUMMYFUNCTION("""COMPUTED_VALUE"""),54.44)</f>
        <v>54.44</v>
      </c>
      <c r="D224" s="1">
        <f>IFERROR(__xludf.DUMMYFUNCTION("""COMPUTED_VALUE"""),53.1)</f>
        <v>53.1</v>
      </c>
      <c r="E224" s="1">
        <f>IFERROR(__xludf.DUMMYFUNCTION("""COMPUTED_VALUE"""),53.16)</f>
        <v>53.16</v>
      </c>
      <c r="F224" s="1">
        <f>IFERROR(__xludf.DUMMYFUNCTION("""COMPUTED_VALUE"""),1.3521339E7)</f>
        <v>13521339</v>
      </c>
    </row>
    <row r="225">
      <c r="A225" s="2">
        <f>IFERROR(__xludf.DUMMYFUNCTION("""COMPUTED_VALUE"""),45617.625)</f>
        <v>45617.625</v>
      </c>
      <c r="B225" s="1">
        <f>IFERROR(__xludf.DUMMYFUNCTION("""COMPUTED_VALUE"""),53.52)</f>
        <v>53.52</v>
      </c>
      <c r="C225" s="1">
        <f>IFERROR(__xludf.DUMMYFUNCTION("""COMPUTED_VALUE"""),53.67)</f>
        <v>53.67</v>
      </c>
      <c r="D225" s="1">
        <f>IFERROR(__xludf.DUMMYFUNCTION("""COMPUTED_VALUE"""),51.68)</f>
        <v>51.68</v>
      </c>
      <c r="E225" s="1">
        <f>IFERROR(__xludf.DUMMYFUNCTION("""COMPUTED_VALUE"""),52.05)</f>
        <v>52.05</v>
      </c>
      <c r="F225" s="1">
        <f>IFERROR(__xludf.DUMMYFUNCTION("""COMPUTED_VALUE"""),3.0660555E7)</f>
        <v>30660555</v>
      </c>
    </row>
    <row r="226">
      <c r="A226" s="2">
        <f>IFERROR(__xludf.DUMMYFUNCTION("""COMPUTED_VALUE"""),45618.625)</f>
        <v>45618.625</v>
      </c>
      <c r="B226" s="1">
        <f>IFERROR(__xludf.DUMMYFUNCTION("""COMPUTED_VALUE"""),51.89)</f>
        <v>51.89</v>
      </c>
      <c r="C226" s="1">
        <f>IFERROR(__xludf.DUMMYFUNCTION("""COMPUTED_VALUE"""),53.64)</f>
        <v>53.64</v>
      </c>
      <c r="D226" s="1">
        <f>IFERROR(__xludf.DUMMYFUNCTION("""COMPUTED_VALUE"""),51.58)</f>
        <v>51.58</v>
      </c>
      <c r="E226" s="1">
        <f>IFERROR(__xludf.DUMMYFUNCTION("""COMPUTED_VALUE"""),53.52)</f>
        <v>53.52</v>
      </c>
      <c r="F226" s="1">
        <f>IFERROR(__xludf.DUMMYFUNCTION("""COMPUTED_VALUE"""),1.781512E7)</f>
        <v>17815120</v>
      </c>
    </row>
    <row r="227">
      <c r="A227" s="2">
        <f>IFERROR(__xludf.DUMMYFUNCTION("""COMPUTED_VALUE"""),45621.625)</f>
        <v>45621.625</v>
      </c>
      <c r="B227" s="1">
        <f>IFERROR(__xludf.DUMMYFUNCTION("""COMPUTED_VALUE"""),53.58)</f>
        <v>53.58</v>
      </c>
      <c r="C227" s="1">
        <f>IFERROR(__xludf.DUMMYFUNCTION("""COMPUTED_VALUE"""),54.09)</f>
        <v>54.09</v>
      </c>
      <c r="D227" s="1">
        <f>IFERROR(__xludf.DUMMYFUNCTION("""COMPUTED_VALUE"""),52.6)</f>
        <v>52.6</v>
      </c>
      <c r="E227" s="1">
        <f>IFERROR(__xludf.DUMMYFUNCTION("""COMPUTED_VALUE"""),53.27)</f>
        <v>53.27</v>
      </c>
      <c r="F227" s="1">
        <f>IFERROR(__xludf.DUMMYFUNCTION("""COMPUTED_VALUE"""),7.1434761E7)</f>
        <v>71434761</v>
      </c>
    </row>
    <row r="228">
      <c r="A228" s="2">
        <f>IFERROR(__xludf.DUMMYFUNCTION("""COMPUTED_VALUE"""),45622.625)</f>
        <v>45622.625</v>
      </c>
      <c r="B228" s="1">
        <f>IFERROR(__xludf.DUMMYFUNCTION("""COMPUTED_VALUE"""),53.05)</f>
        <v>53.05</v>
      </c>
      <c r="C228" s="1">
        <f>IFERROR(__xludf.DUMMYFUNCTION("""COMPUTED_VALUE"""),54.34)</f>
        <v>54.34</v>
      </c>
      <c r="D228" s="1">
        <f>IFERROR(__xludf.DUMMYFUNCTION("""COMPUTED_VALUE"""),52.9)</f>
        <v>52.9</v>
      </c>
      <c r="E228" s="1">
        <f>IFERROR(__xludf.DUMMYFUNCTION("""COMPUTED_VALUE"""),53.43)</f>
        <v>53.43</v>
      </c>
      <c r="F228" s="1">
        <f>IFERROR(__xludf.DUMMYFUNCTION("""COMPUTED_VALUE"""),2.204576E7)</f>
        <v>22045760</v>
      </c>
    </row>
    <row r="229">
      <c r="A229" s="2">
        <f>IFERROR(__xludf.DUMMYFUNCTION("""COMPUTED_VALUE"""),45623.625)</f>
        <v>45623.625</v>
      </c>
      <c r="B229" s="1">
        <f>IFERROR(__xludf.DUMMYFUNCTION("""COMPUTED_VALUE"""),53.5)</f>
        <v>53.5</v>
      </c>
      <c r="C229" s="1">
        <f>IFERROR(__xludf.DUMMYFUNCTION("""COMPUTED_VALUE"""),54.6)</f>
        <v>54.6</v>
      </c>
      <c r="D229" s="1">
        <f>IFERROR(__xludf.DUMMYFUNCTION("""COMPUTED_VALUE"""),52.82)</f>
        <v>52.82</v>
      </c>
      <c r="E229" s="1">
        <f>IFERROR(__xludf.DUMMYFUNCTION("""COMPUTED_VALUE"""),54.38)</f>
        <v>54.38</v>
      </c>
      <c r="F229" s="1">
        <f>IFERROR(__xludf.DUMMYFUNCTION("""COMPUTED_VALUE"""),2.6362129E7)</f>
        <v>26362129</v>
      </c>
    </row>
    <row r="230">
      <c r="A230" s="2">
        <f>IFERROR(__xludf.DUMMYFUNCTION("""COMPUTED_VALUE"""),45624.625)</f>
        <v>45624.625</v>
      </c>
      <c r="B230" s="1">
        <f>IFERROR(__xludf.DUMMYFUNCTION("""COMPUTED_VALUE"""),54.47)</f>
        <v>54.47</v>
      </c>
      <c r="C230" s="1">
        <f>IFERROR(__xludf.DUMMYFUNCTION("""COMPUTED_VALUE"""),54.49)</f>
        <v>54.49</v>
      </c>
      <c r="D230" s="1">
        <f>IFERROR(__xludf.DUMMYFUNCTION("""COMPUTED_VALUE"""),52.85)</f>
        <v>52.85</v>
      </c>
      <c r="E230" s="1">
        <f>IFERROR(__xludf.DUMMYFUNCTION("""COMPUTED_VALUE"""),53.31)</f>
        <v>53.31</v>
      </c>
      <c r="F230" s="1">
        <f>IFERROR(__xludf.DUMMYFUNCTION("""COMPUTED_VALUE"""),5984480.0)</f>
        <v>5984480</v>
      </c>
    </row>
    <row r="231">
      <c r="A231" s="2">
        <f>IFERROR(__xludf.DUMMYFUNCTION("""COMPUTED_VALUE"""),45625.625)</f>
        <v>45625.625</v>
      </c>
      <c r="B231" s="1">
        <f>IFERROR(__xludf.DUMMYFUNCTION("""COMPUTED_VALUE"""),53.54)</f>
        <v>53.54</v>
      </c>
      <c r="C231" s="1">
        <f>IFERROR(__xludf.DUMMYFUNCTION("""COMPUTED_VALUE"""),54.31)</f>
        <v>54.31</v>
      </c>
      <c r="D231" s="1">
        <f>IFERROR(__xludf.DUMMYFUNCTION("""COMPUTED_VALUE"""),52.91)</f>
        <v>52.91</v>
      </c>
      <c r="E231" s="1">
        <f>IFERROR(__xludf.DUMMYFUNCTION("""COMPUTED_VALUE"""),53.91)</f>
        <v>53.91</v>
      </c>
      <c r="F231" s="1">
        <f>IFERROR(__xludf.DUMMYFUNCTION("""COMPUTED_VALUE"""),1.1753882E7)</f>
        <v>11753882</v>
      </c>
    </row>
    <row r="232">
      <c r="A232" s="2">
        <f>IFERROR(__xludf.DUMMYFUNCTION("""COMPUTED_VALUE"""),45628.625)</f>
        <v>45628.625</v>
      </c>
      <c r="B232" s="1">
        <f>IFERROR(__xludf.DUMMYFUNCTION("""COMPUTED_VALUE"""),54.16)</f>
        <v>54.16</v>
      </c>
      <c r="C232" s="1">
        <f>IFERROR(__xludf.DUMMYFUNCTION("""COMPUTED_VALUE"""),54.57)</f>
        <v>54.57</v>
      </c>
      <c r="D232" s="1">
        <f>IFERROR(__xludf.DUMMYFUNCTION("""COMPUTED_VALUE"""),53.4)</f>
        <v>53.4</v>
      </c>
      <c r="E232" s="1">
        <f>IFERROR(__xludf.DUMMYFUNCTION("""COMPUTED_VALUE"""),54.16)</f>
        <v>54.16</v>
      </c>
      <c r="F232" s="1">
        <f>IFERROR(__xludf.DUMMYFUNCTION("""COMPUTED_VALUE"""),2.0396193E7)</f>
        <v>20396193</v>
      </c>
    </row>
    <row r="233">
      <c r="A233" s="2">
        <f>IFERROR(__xludf.DUMMYFUNCTION("""COMPUTED_VALUE"""),45629.625)</f>
        <v>45629.625</v>
      </c>
      <c r="B233" s="1">
        <f>IFERROR(__xludf.DUMMYFUNCTION("""COMPUTED_VALUE"""),54.59)</f>
        <v>54.59</v>
      </c>
      <c r="C233" s="1">
        <f>IFERROR(__xludf.DUMMYFUNCTION("""COMPUTED_VALUE"""),55.13)</f>
        <v>55.13</v>
      </c>
      <c r="D233" s="1">
        <f>IFERROR(__xludf.DUMMYFUNCTION("""COMPUTED_VALUE"""),53.72)</f>
        <v>53.72</v>
      </c>
      <c r="E233" s="1">
        <f>IFERROR(__xludf.DUMMYFUNCTION("""COMPUTED_VALUE"""),54.98)</f>
        <v>54.98</v>
      </c>
      <c r="F233" s="1">
        <f>IFERROR(__xludf.DUMMYFUNCTION("""COMPUTED_VALUE"""),2.1826181E7)</f>
        <v>21826181</v>
      </c>
    </row>
    <row r="234">
      <c r="A234" s="2">
        <f>IFERROR(__xludf.DUMMYFUNCTION("""COMPUTED_VALUE"""),45630.625)</f>
        <v>45630.625</v>
      </c>
      <c r="B234" s="1">
        <f>IFERROR(__xludf.DUMMYFUNCTION("""COMPUTED_VALUE"""),54.79)</f>
        <v>54.79</v>
      </c>
      <c r="C234" s="1">
        <f>IFERROR(__xludf.DUMMYFUNCTION("""COMPUTED_VALUE"""),56.83)</f>
        <v>56.83</v>
      </c>
      <c r="D234" s="1">
        <f>IFERROR(__xludf.DUMMYFUNCTION("""COMPUTED_VALUE"""),54.49)</f>
        <v>54.49</v>
      </c>
      <c r="E234" s="1">
        <f>IFERROR(__xludf.DUMMYFUNCTION("""COMPUTED_VALUE"""),56.52)</f>
        <v>56.52</v>
      </c>
      <c r="F234" s="1">
        <f>IFERROR(__xludf.DUMMYFUNCTION("""COMPUTED_VALUE"""),2.2557595E7)</f>
        <v>22557595</v>
      </c>
    </row>
    <row r="235">
      <c r="A235" s="2">
        <f>IFERROR(__xludf.DUMMYFUNCTION("""COMPUTED_VALUE"""),45631.625)</f>
        <v>45631.625</v>
      </c>
      <c r="B235" s="1">
        <f>IFERROR(__xludf.DUMMYFUNCTION("""COMPUTED_VALUE"""),56.21)</f>
        <v>56.21</v>
      </c>
      <c r="C235" s="1">
        <f>IFERROR(__xludf.DUMMYFUNCTION("""COMPUTED_VALUE"""),57.33)</f>
        <v>57.33</v>
      </c>
      <c r="D235" s="1">
        <f>IFERROR(__xludf.DUMMYFUNCTION("""COMPUTED_VALUE"""),55.0)</f>
        <v>55</v>
      </c>
      <c r="E235" s="1">
        <f>IFERROR(__xludf.DUMMYFUNCTION("""COMPUTED_VALUE"""),57.19)</f>
        <v>57.19</v>
      </c>
      <c r="F235" s="1">
        <f>IFERROR(__xludf.DUMMYFUNCTION("""COMPUTED_VALUE"""),2.1965064E7)</f>
        <v>21965064</v>
      </c>
    </row>
    <row r="236">
      <c r="A236" s="2">
        <f>IFERROR(__xludf.DUMMYFUNCTION("""COMPUTED_VALUE"""),45632.625)</f>
        <v>45632.625</v>
      </c>
      <c r="B236" s="1">
        <f>IFERROR(__xludf.DUMMYFUNCTION("""COMPUTED_VALUE"""),56.2)</f>
        <v>56.2</v>
      </c>
      <c r="C236" s="1">
        <f>IFERROR(__xludf.DUMMYFUNCTION("""COMPUTED_VALUE"""),57.49)</f>
        <v>57.49</v>
      </c>
      <c r="D236" s="1">
        <f>IFERROR(__xludf.DUMMYFUNCTION("""COMPUTED_VALUE"""),56.0)</f>
        <v>56</v>
      </c>
      <c r="E236" s="1">
        <f>IFERROR(__xludf.DUMMYFUNCTION("""COMPUTED_VALUE"""),57.32)</f>
        <v>57.32</v>
      </c>
      <c r="F236" s="1">
        <f>IFERROR(__xludf.DUMMYFUNCTION("""COMPUTED_VALUE"""),2.232212E7)</f>
        <v>22322120</v>
      </c>
    </row>
    <row r="237">
      <c r="A237" s="2">
        <f>IFERROR(__xludf.DUMMYFUNCTION("""COMPUTED_VALUE"""),45635.625)</f>
        <v>45635.625</v>
      </c>
      <c r="B237" s="1">
        <f>IFERROR(__xludf.DUMMYFUNCTION("""COMPUTED_VALUE"""),56.88)</f>
        <v>56.88</v>
      </c>
      <c r="C237" s="1">
        <f>IFERROR(__xludf.DUMMYFUNCTION("""COMPUTED_VALUE"""),57.65)</f>
        <v>57.65</v>
      </c>
      <c r="D237" s="1">
        <f>IFERROR(__xludf.DUMMYFUNCTION("""COMPUTED_VALUE"""),55.26)</f>
        <v>55.26</v>
      </c>
      <c r="E237" s="1">
        <f>IFERROR(__xludf.DUMMYFUNCTION("""COMPUTED_VALUE"""),57.44)</f>
        <v>57.44</v>
      </c>
      <c r="F237" s="1">
        <f>IFERROR(__xludf.DUMMYFUNCTION("""COMPUTED_VALUE"""),2.3156762E7)</f>
        <v>23156762</v>
      </c>
    </row>
    <row r="238">
      <c r="A238" s="2">
        <f>IFERROR(__xludf.DUMMYFUNCTION("""COMPUTED_VALUE"""),45636.625)</f>
        <v>45636.625</v>
      </c>
      <c r="B238" s="1">
        <f>IFERROR(__xludf.DUMMYFUNCTION("""COMPUTED_VALUE"""),57.39)</f>
        <v>57.39</v>
      </c>
      <c r="C238" s="1">
        <f>IFERROR(__xludf.DUMMYFUNCTION("""COMPUTED_VALUE"""),57.4)</f>
        <v>57.4</v>
      </c>
      <c r="D238" s="1">
        <f>IFERROR(__xludf.DUMMYFUNCTION("""COMPUTED_VALUE"""),56.7)</f>
        <v>56.7</v>
      </c>
      <c r="E238" s="1">
        <f>IFERROR(__xludf.DUMMYFUNCTION("""COMPUTED_VALUE"""),57.16)</f>
        <v>57.16</v>
      </c>
      <c r="F238" s="1">
        <f>IFERROR(__xludf.DUMMYFUNCTION("""COMPUTED_VALUE"""),2.3250478E7)</f>
        <v>23250478</v>
      </c>
    </row>
    <row r="239">
      <c r="A239" s="2">
        <f>IFERROR(__xludf.DUMMYFUNCTION("""COMPUTED_VALUE"""),45637.625)</f>
        <v>45637.625</v>
      </c>
      <c r="B239" s="1">
        <f>IFERROR(__xludf.DUMMYFUNCTION("""COMPUTED_VALUE"""),57.05)</f>
        <v>57.05</v>
      </c>
      <c r="C239" s="1">
        <f>IFERROR(__xludf.DUMMYFUNCTION("""COMPUTED_VALUE"""),57.68)</f>
        <v>57.68</v>
      </c>
      <c r="D239" s="1">
        <f>IFERROR(__xludf.DUMMYFUNCTION("""COMPUTED_VALUE"""),56.55)</f>
        <v>56.55</v>
      </c>
      <c r="E239" s="1">
        <f>IFERROR(__xludf.DUMMYFUNCTION("""COMPUTED_VALUE"""),57.12)</f>
        <v>57.12</v>
      </c>
      <c r="F239" s="1">
        <f>IFERROR(__xludf.DUMMYFUNCTION("""COMPUTED_VALUE"""),2.8860441E7)</f>
        <v>28860441</v>
      </c>
    </row>
    <row r="240">
      <c r="A240" s="2">
        <f>IFERROR(__xludf.DUMMYFUNCTION("""COMPUTED_VALUE"""),45639.625)</f>
        <v>45639.625</v>
      </c>
      <c r="B240" s="1">
        <f>IFERROR(__xludf.DUMMYFUNCTION("""COMPUTED_VALUE"""),57.67)</f>
        <v>57.67</v>
      </c>
      <c r="C240" s="1">
        <f>IFERROR(__xludf.DUMMYFUNCTION("""COMPUTED_VALUE"""),61.94)</f>
        <v>61.94</v>
      </c>
      <c r="D240" s="1">
        <f>IFERROR(__xludf.DUMMYFUNCTION("""COMPUTED_VALUE"""),57.38)</f>
        <v>57.38</v>
      </c>
      <c r="E240" s="1">
        <f>IFERROR(__xludf.DUMMYFUNCTION("""COMPUTED_VALUE"""),61.59)</f>
        <v>61.59</v>
      </c>
      <c r="F240" s="1">
        <f>IFERROR(__xludf.DUMMYFUNCTION("""COMPUTED_VALUE"""),6.447501E7)</f>
        <v>64475010</v>
      </c>
    </row>
    <row r="241">
      <c r="A241" s="2">
        <f>IFERROR(__xludf.DUMMYFUNCTION("""COMPUTED_VALUE"""),45642.625)</f>
        <v>45642.625</v>
      </c>
      <c r="B241" s="1">
        <f>IFERROR(__xludf.DUMMYFUNCTION("""COMPUTED_VALUE"""),61.4)</f>
        <v>61.4</v>
      </c>
      <c r="C241" s="1">
        <f>IFERROR(__xludf.DUMMYFUNCTION("""COMPUTED_VALUE"""),62.79)</f>
        <v>62.79</v>
      </c>
      <c r="D241" s="1">
        <f>IFERROR(__xludf.DUMMYFUNCTION("""COMPUTED_VALUE"""),59.23)</f>
        <v>59.23</v>
      </c>
      <c r="E241" s="1">
        <f>IFERROR(__xludf.DUMMYFUNCTION("""COMPUTED_VALUE"""),59.86)</f>
        <v>59.86</v>
      </c>
      <c r="F241" s="1">
        <f>IFERROR(__xludf.DUMMYFUNCTION("""COMPUTED_VALUE"""),5.0732045E7)</f>
        <v>50732045</v>
      </c>
    </row>
    <row r="242">
      <c r="A242" s="2">
        <f>IFERROR(__xludf.DUMMYFUNCTION("""COMPUTED_VALUE"""),45643.625)</f>
        <v>45643.625</v>
      </c>
      <c r="B242" s="1">
        <f>IFERROR(__xludf.DUMMYFUNCTION("""COMPUTED_VALUE"""),60.0)</f>
        <v>60</v>
      </c>
      <c r="C242" s="1">
        <f>IFERROR(__xludf.DUMMYFUNCTION("""COMPUTED_VALUE"""),60.48)</f>
        <v>60.48</v>
      </c>
      <c r="D242" s="1">
        <f>IFERROR(__xludf.DUMMYFUNCTION("""COMPUTED_VALUE"""),57.09)</f>
        <v>57.09</v>
      </c>
      <c r="E242" s="1">
        <f>IFERROR(__xludf.DUMMYFUNCTION("""COMPUTED_VALUE"""),57.69)</f>
        <v>57.69</v>
      </c>
      <c r="F242" s="1">
        <f>IFERROR(__xludf.DUMMYFUNCTION("""COMPUTED_VALUE"""),3.9555983E7)</f>
        <v>39555983</v>
      </c>
    </row>
    <row r="243">
      <c r="A243" s="2">
        <f>IFERROR(__xludf.DUMMYFUNCTION("""COMPUTED_VALUE"""),45644.625)</f>
        <v>45644.625</v>
      </c>
      <c r="B243" s="1">
        <f>IFERROR(__xludf.DUMMYFUNCTION("""COMPUTED_VALUE"""),57.45)</f>
        <v>57.45</v>
      </c>
      <c r="C243" s="1">
        <f>IFERROR(__xludf.DUMMYFUNCTION("""COMPUTED_VALUE"""),59.24)</f>
        <v>59.24</v>
      </c>
      <c r="D243" s="1">
        <f>IFERROR(__xludf.DUMMYFUNCTION("""COMPUTED_VALUE"""),57.07)</f>
        <v>57.07</v>
      </c>
      <c r="E243" s="1">
        <f>IFERROR(__xludf.DUMMYFUNCTION("""COMPUTED_VALUE"""),58.06)</f>
        <v>58.06</v>
      </c>
      <c r="F243" s="1">
        <f>IFERROR(__xludf.DUMMYFUNCTION("""COMPUTED_VALUE"""),3.4167934E7)</f>
        <v>34167934</v>
      </c>
    </row>
    <row r="244">
      <c r="A244" s="2">
        <f>IFERROR(__xludf.DUMMYFUNCTION("""COMPUTED_VALUE"""),45645.625)</f>
        <v>45645.625</v>
      </c>
      <c r="B244" s="1">
        <f>IFERROR(__xludf.DUMMYFUNCTION("""COMPUTED_VALUE"""),58.1)</f>
        <v>58.1</v>
      </c>
      <c r="C244" s="1">
        <f>IFERROR(__xludf.DUMMYFUNCTION("""COMPUTED_VALUE"""),58.59)</f>
        <v>58.59</v>
      </c>
      <c r="D244" s="1">
        <f>IFERROR(__xludf.DUMMYFUNCTION("""COMPUTED_VALUE"""),57.71)</f>
        <v>57.71</v>
      </c>
      <c r="E244" s="1">
        <f>IFERROR(__xludf.DUMMYFUNCTION("""COMPUTED_VALUE"""),58.01)</f>
        <v>58.01</v>
      </c>
      <c r="F244" s="1">
        <f>IFERROR(__xludf.DUMMYFUNCTION("""COMPUTED_VALUE"""),2.1790461E7)</f>
        <v>21790461</v>
      </c>
    </row>
    <row r="245">
      <c r="A245" s="2">
        <f>IFERROR(__xludf.DUMMYFUNCTION("""COMPUTED_VALUE"""),45646.625)</f>
        <v>45646.625</v>
      </c>
      <c r="B245" s="1">
        <f>IFERROR(__xludf.DUMMYFUNCTION("""COMPUTED_VALUE"""),57.72)</f>
        <v>57.72</v>
      </c>
      <c r="C245" s="1">
        <f>IFERROR(__xludf.DUMMYFUNCTION("""COMPUTED_VALUE"""),58.28)</f>
        <v>58.28</v>
      </c>
      <c r="D245" s="1">
        <f>IFERROR(__xludf.DUMMYFUNCTION("""COMPUTED_VALUE"""),57.08)</f>
        <v>57.08</v>
      </c>
      <c r="E245" s="1">
        <f>IFERROR(__xludf.DUMMYFUNCTION("""COMPUTED_VALUE"""),57.5)</f>
        <v>57.5</v>
      </c>
      <c r="F245" s="1">
        <f>IFERROR(__xludf.DUMMYFUNCTION("""COMPUTED_VALUE"""),5.1456943E7)</f>
        <v>51456943</v>
      </c>
    </row>
    <row r="246">
      <c r="A246" s="2">
        <f>IFERROR(__xludf.DUMMYFUNCTION("""COMPUTED_VALUE"""),45649.625)</f>
        <v>45649.625</v>
      </c>
      <c r="B246" s="1">
        <f>IFERROR(__xludf.DUMMYFUNCTION("""COMPUTED_VALUE"""),57.11)</f>
        <v>57.11</v>
      </c>
      <c r="C246" s="1">
        <f>IFERROR(__xludf.DUMMYFUNCTION("""COMPUTED_VALUE"""),57.49)</f>
        <v>57.49</v>
      </c>
      <c r="D246" s="1">
        <f>IFERROR(__xludf.DUMMYFUNCTION("""COMPUTED_VALUE"""),55.31)</f>
        <v>55.31</v>
      </c>
      <c r="E246" s="1">
        <f>IFERROR(__xludf.DUMMYFUNCTION("""COMPUTED_VALUE"""),56.37)</f>
        <v>56.37</v>
      </c>
      <c r="F246" s="1">
        <f>IFERROR(__xludf.DUMMYFUNCTION("""COMPUTED_VALUE"""),5745578.0)</f>
        <v>5745578</v>
      </c>
    </row>
    <row r="247">
      <c r="A247" s="2">
        <f>IFERROR(__xludf.DUMMYFUNCTION("""COMPUTED_VALUE"""),45650.625)</f>
        <v>45650.625</v>
      </c>
      <c r="B247" s="1">
        <f>IFERROR(__xludf.DUMMYFUNCTION("""COMPUTED_VALUE"""),56.5)</f>
        <v>56.5</v>
      </c>
      <c r="C247" s="1">
        <f>IFERROR(__xludf.DUMMYFUNCTION("""COMPUTED_VALUE"""),56.98)</f>
        <v>56.98</v>
      </c>
      <c r="D247" s="1">
        <f>IFERROR(__xludf.DUMMYFUNCTION("""COMPUTED_VALUE"""),56.02)</f>
        <v>56.02</v>
      </c>
      <c r="E247" s="1">
        <f>IFERROR(__xludf.DUMMYFUNCTION("""COMPUTED_VALUE"""),56.31)</f>
        <v>56.31</v>
      </c>
      <c r="F247" s="1">
        <f>IFERROR(__xludf.DUMMYFUNCTION("""COMPUTED_VALUE"""),1235331.0)</f>
        <v>1235331</v>
      </c>
    </row>
    <row r="248">
      <c r="A248" s="2">
        <f>IFERROR(__xludf.DUMMYFUNCTION("""COMPUTED_VALUE"""),45652.625)</f>
        <v>45652.625</v>
      </c>
      <c r="B248" s="1">
        <f>IFERROR(__xludf.DUMMYFUNCTION("""COMPUTED_VALUE"""),56.1)</f>
        <v>56.1</v>
      </c>
      <c r="C248" s="1">
        <f>IFERROR(__xludf.DUMMYFUNCTION("""COMPUTED_VALUE"""),56.59)</f>
        <v>56.59</v>
      </c>
      <c r="D248" s="1">
        <f>IFERROR(__xludf.DUMMYFUNCTION("""COMPUTED_VALUE"""),55.51)</f>
        <v>55.51</v>
      </c>
      <c r="E248" s="1">
        <f>IFERROR(__xludf.DUMMYFUNCTION("""COMPUTED_VALUE"""),56.14)</f>
        <v>56.14</v>
      </c>
      <c r="F248" s="1">
        <f>IFERROR(__xludf.DUMMYFUNCTION("""COMPUTED_VALUE"""),4381461.0)</f>
        <v>4381461</v>
      </c>
    </row>
    <row r="249">
      <c r="A249" s="2">
        <f>IFERROR(__xludf.DUMMYFUNCTION("""COMPUTED_VALUE"""),45653.625)</f>
        <v>45653.625</v>
      </c>
      <c r="B249" s="1">
        <f>IFERROR(__xludf.DUMMYFUNCTION("""COMPUTED_VALUE"""),55.92)</f>
        <v>55.92</v>
      </c>
      <c r="C249" s="1">
        <f>IFERROR(__xludf.DUMMYFUNCTION("""COMPUTED_VALUE"""),56.69)</f>
        <v>56.69</v>
      </c>
      <c r="D249" s="1">
        <f>IFERROR(__xludf.DUMMYFUNCTION("""COMPUTED_VALUE"""),54.91)</f>
        <v>54.91</v>
      </c>
      <c r="E249" s="1">
        <f>IFERROR(__xludf.DUMMYFUNCTION("""COMPUTED_VALUE"""),54.92)</f>
        <v>54.92</v>
      </c>
      <c r="F249" s="1">
        <f>IFERROR(__xludf.DUMMYFUNCTION("""COMPUTED_VALUE"""),7299180.0)</f>
        <v>7299180</v>
      </c>
    </row>
    <row r="250">
      <c r="A250" s="2">
        <f>IFERROR(__xludf.DUMMYFUNCTION("""COMPUTED_VALUE"""),45656.625)</f>
        <v>45656.625</v>
      </c>
      <c r="B250" s="1">
        <f>IFERROR(__xludf.DUMMYFUNCTION("""COMPUTED_VALUE"""),55.29)</f>
        <v>55.29</v>
      </c>
      <c r="C250" s="1">
        <f>IFERROR(__xludf.DUMMYFUNCTION("""COMPUTED_VALUE"""),55.3)</f>
        <v>55.3</v>
      </c>
      <c r="D250" s="1">
        <f>IFERROR(__xludf.DUMMYFUNCTION("""COMPUTED_VALUE"""),53.83)</f>
        <v>53.83</v>
      </c>
      <c r="E250" s="1">
        <f>IFERROR(__xludf.DUMMYFUNCTION("""COMPUTED_VALUE"""),54.28)</f>
        <v>54.28</v>
      </c>
      <c r="F250" s="1">
        <f>IFERROR(__xludf.DUMMYFUNCTION("""COMPUTED_VALUE"""),7845260.0)</f>
        <v>7845260</v>
      </c>
    </row>
    <row r="251">
      <c r="A251" s="2">
        <f>IFERROR(__xludf.DUMMYFUNCTION("""COMPUTED_VALUE"""),45657.625)</f>
        <v>45657.625</v>
      </c>
      <c r="B251" s="1">
        <f>IFERROR(__xludf.DUMMYFUNCTION("""COMPUTED_VALUE"""),54.03)</f>
        <v>54.03</v>
      </c>
      <c r="C251" s="1">
        <f>IFERROR(__xludf.DUMMYFUNCTION("""COMPUTED_VALUE"""),56.35)</f>
        <v>56.35</v>
      </c>
      <c r="D251" s="1">
        <f>IFERROR(__xludf.DUMMYFUNCTION("""COMPUTED_VALUE"""),54.02)</f>
        <v>54.02</v>
      </c>
      <c r="E251" s="1">
        <f>IFERROR(__xludf.DUMMYFUNCTION("""COMPUTED_VALUE"""),54.88)</f>
        <v>54.88</v>
      </c>
      <c r="F251" s="1">
        <f>IFERROR(__xludf.DUMMYFUNCTION("""COMPUTED_VALUE"""),7102068.0)</f>
        <v>7102068</v>
      </c>
    </row>
  </sheetData>
  <drawing r:id="rId1"/>
</worksheet>
</file>